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60E78047-800B-4BD3-B719-A49238CA4A98}" xr6:coauthVersionLast="47" xr6:coauthVersionMax="47" xr10:uidLastSave="{00000000-0000-0000-0000-000000000000}"/>
  <bookViews>
    <workbookView xWindow="-120" yWindow="-120" windowWidth="20730" windowHeight="11160" xr2:uid="{3D1B99B3-5101-4F00-8049-640363BFE926}"/>
  </bookViews>
  <sheets>
    <sheet name="SmoothingLDF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10" i="1"/>
  <c r="G11" i="1"/>
  <c r="G12" i="1"/>
  <c r="C15" i="1"/>
  <c r="C22" i="1" s="1"/>
  <c r="H22" i="1" s="1"/>
  <c r="E15" i="1"/>
  <c r="D22" i="1"/>
  <c r="G23" i="1" l="1"/>
  <c r="G8" i="1" s="1"/>
  <c r="D24" i="1"/>
  <c r="C24" i="1"/>
  <c r="G24" i="1" s="1"/>
  <c r="G9" i="1" s="1"/>
  <c r="C23" i="1"/>
  <c r="H23" i="1"/>
  <c r="D23" i="1"/>
  <c r="G22" i="1"/>
  <c r="G7" i="1" s="1"/>
  <c r="H24" i="1" l="1"/>
  <c r="G15" i="1"/>
</calcChain>
</file>

<file path=xl/sharedStrings.xml><?xml version="1.0" encoding="utf-8"?>
<sst xmlns="http://schemas.openxmlformats.org/spreadsheetml/2006/main" count="26" uniqueCount="17">
  <si>
    <t>60 - 72</t>
  </si>
  <si>
    <t>48 - 60</t>
  </si>
  <si>
    <t>36 - 48</t>
  </si>
  <si>
    <t>Formula</t>
  </si>
  <si>
    <t>Smoothed</t>
  </si>
  <si>
    <t>Log Relativity</t>
  </si>
  <si>
    <t>Age-to-Age</t>
  </si>
  <si>
    <t>Company Data</t>
  </si>
  <si>
    <t>Benchmark</t>
  </si>
  <si>
    <t>Industry</t>
  </si>
  <si>
    <t>36 -72</t>
  </si>
  <si>
    <t>96 - 108</t>
  </si>
  <si>
    <t>84 - 96</t>
  </si>
  <si>
    <t>72 - 84</t>
  </si>
  <si>
    <t>24 - 36</t>
  </si>
  <si>
    <t>12 - 24</t>
  </si>
  <si>
    <t>Initial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</si>
</sst>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164" fontId="1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2" xfId="0" applyBorder="1"/>
    <xf numFmtId="164" fontId="0" fillId="0" borderId="0" xfId="0" quotePrefix="1" applyNumberFormat="1" applyAlignment="1">
      <alignment horizontal="center"/>
    </xf>
    <xf numFmtId="164" fontId="0" fillId="0" borderId="0" xfId="0" applyNumberFormat="1"/>
    <xf numFmtId="164" fontId="2" fillId="2" borderId="3" xfId="0" applyNumberFormat="1" applyFon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1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E207-14C3-4D6A-9A0B-8636F425DE56}">
  <dimension ref="B2:L24"/>
  <sheetViews>
    <sheetView showGridLines="0" tabSelected="1" workbookViewId="0">
      <selection activeCell="E7" sqref="E7"/>
    </sheetView>
  </sheetViews>
  <sheetFormatPr defaultRowHeight="15" x14ac:dyDescent="0.25"/>
  <cols>
    <col min="1" max="1" width="4.5703125" customWidth="1"/>
    <col min="2" max="2" width="14.42578125" customWidth="1"/>
    <col min="3" max="3" width="12.85546875" customWidth="1"/>
    <col min="4" max="4" width="6" customWidth="1"/>
    <col min="5" max="5" width="14.42578125" customWidth="1"/>
    <col min="6" max="6" width="1.140625" customWidth="1"/>
    <col min="7" max="7" width="14.42578125" customWidth="1"/>
    <col min="8" max="8" width="13.7109375" customWidth="1"/>
    <col min="9" max="9" width="13.5703125" customWidth="1"/>
    <col min="10" max="10" width="12.42578125" customWidth="1"/>
  </cols>
  <sheetData>
    <row r="2" spans="2:12" x14ac:dyDescent="0.25">
      <c r="C2" s="6" t="s">
        <v>9</v>
      </c>
      <c r="E2" s="24" t="s">
        <v>7</v>
      </c>
      <c r="F2" s="24"/>
      <c r="G2" s="24"/>
    </row>
    <row r="3" spans="2:12" x14ac:dyDescent="0.25">
      <c r="B3" s="11" t="s">
        <v>6</v>
      </c>
      <c r="C3" s="11" t="s">
        <v>8</v>
      </c>
      <c r="D3" s="11"/>
      <c r="E3" s="11" t="s">
        <v>16</v>
      </c>
      <c r="F3" s="11"/>
      <c r="G3" s="11" t="s">
        <v>4</v>
      </c>
    </row>
    <row r="4" spans="2:12" ht="6.75" customHeight="1" x14ac:dyDescent="0.25">
      <c r="B4" s="6"/>
      <c r="C4" s="6"/>
      <c r="D4" s="6"/>
      <c r="E4" s="6"/>
      <c r="F4" s="6"/>
      <c r="G4" s="6"/>
    </row>
    <row r="5" spans="2:12" x14ac:dyDescent="0.25">
      <c r="B5" s="6" t="s">
        <v>15</v>
      </c>
      <c r="C5" s="8">
        <v>1.7629999999999999</v>
      </c>
      <c r="D5" s="8"/>
      <c r="E5" s="8">
        <v>1.9219999999999999</v>
      </c>
      <c r="F5" s="8"/>
      <c r="G5" s="8">
        <f>E5</f>
        <v>1.9219999999999999</v>
      </c>
      <c r="H5" s="17"/>
    </row>
    <row r="6" spans="2:12" x14ac:dyDescent="0.25">
      <c r="B6" s="6" t="s">
        <v>14</v>
      </c>
      <c r="C6" s="8">
        <v>1.228</v>
      </c>
      <c r="D6" s="8"/>
      <c r="E6" s="8">
        <v>1.3680000000000001</v>
      </c>
      <c r="F6" s="8"/>
      <c r="G6" s="8">
        <f>E6</f>
        <v>1.3680000000000001</v>
      </c>
      <c r="H6" s="17"/>
    </row>
    <row r="7" spans="2:12" x14ac:dyDescent="0.25">
      <c r="B7" s="6" t="s">
        <v>2</v>
      </c>
      <c r="C7" s="23">
        <v>1.1000000000000001</v>
      </c>
      <c r="D7" s="8"/>
      <c r="E7" s="23">
        <v>1.05</v>
      </c>
      <c r="F7" s="8"/>
      <c r="G7" s="22">
        <f>G22</f>
        <v>1.0832065623884515</v>
      </c>
      <c r="H7" s="17"/>
    </row>
    <row r="8" spans="2:12" x14ac:dyDescent="0.25">
      <c r="B8" s="6" t="s">
        <v>1</v>
      </c>
      <c r="C8" s="21">
        <v>1.0449999999999999</v>
      </c>
      <c r="D8" s="8"/>
      <c r="E8" s="21">
        <v>1.1220000000000001</v>
      </c>
      <c r="F8" s="8"/>
      <c r="G8" s="20">
        <f>G23</f>
        <v>1.0376016012598142</v>
      </c>
      <c r="H8" s="17"/>
    </row>
    <row r="9" spans="2:12" x14ac:dyDescent="0.25">
      <c r="B9" s="6" t="s">
        <v>0</v>
      </c>
      <c r="C9" s="19">
        <v>1.02</v>
      </c>
      <c r="D9" s="8"/>
      <c r="E9" s="19">
        <v>0.97</v>
      </c>
      <c r="F9" s="8"/>
      <c r="G9" s="18">
        <f>G24</f>
        <v>1.0167448341447136</v>
      </c>
      <c r="H9" s="17"/>
    </row>
    <row r="10" spans="2:12" x14ac:dyDescent="0.25">
      <c r="B10" s="6" t="s">
        <v>13</v>
      </c>
      <c r="C10" s="8">
        <v>1.01</v>
      </c>
      <c r="D10" s="8"/>
      <c r="E10" s="8">
        <v>1.01</v>
      </c>
      <c r="F10" s="8"/>
      <c r="G10" s="8">
        <f>E10</f>
        <v>1.01</v>
      </c>
      <c r="H10" s="17"/>
      <c r="I10" s="17"/>
      <c r="J10" s="8"/>
      <c r="K10" s="8"/>
      <c r="L10" s="8"/>
    </row>
    <row r="11" spans="2:12" x14ac:dyDescent="0.25">
      <c r="B11" s="6" t="s">
        <v>12</v>
      </c>
      <c r="C11" s="8">
        <v>1.006</v>
      </c>
      <c r="D11" s="8"/>
      <c r="E11" s="8">
        <v>1.0049999999999999</v>
      </c>
      <c r="F11" s="8"/>
      <c r="G11" s="8">
        <f>E11</f>
        <v>1.0049999999999999</v>
      </c>
      <c r="H11" s="17"/>
      <c r="I11" s="17"/>
      <c r="J11" s="8"/>
      <c r="K11" s="8"/>
      <c r="L11" s="8"/>
    </row>
    <row r="12" spans="2:12" x14ac:dyDescent="0.25">
      <c r="B12" s="6" t="s">
        <v>11</v>
      </c>
      <c r="C12" s="8">
        <v>1.004</v>
      </c>
      <c r="D12" s="8"/>
      <c r="E12" s="8">
        <v>1</v>
      </c>
      <c r="F12" s="8"/>
      <c r="G12" s="8">
        <f>E12</f>
        <v>1</v>
      </c>
      <c r="H12" s="17"/>
      <c r="I12" s="17"/>
      <c r="J12" s="8"/>
      <c r="K12" s="8"/>
      <c r="L12" s="8"/>
    </row>
    <row r="13" spans="2:12" x14ac:dyDescent="0.25">
      <c r="B13" s="15"/>
      <c r="C13" s="15"/>
      <c r="D13" s="15"/>
      <c r="E13" s="15"/>
      <c r="F13" s="15"/>
      <c r="G13" s="15"/>
    </row>
    <row r="15" spans="2:12" x14ac:dyDescent="0.25">
      <c r="B15" s="16" t="s">
        <v>10</v>
      </c>
      <c r="C15" s="5">
        <f>PRODUCT(C7:C9)</f>
        <v>1.17249</v>
      </c>
      <c r="D15" s="8"/>
      <c r="E15" s="5">
        <f>PRODUCT(E7:E9)</f>
        <v>1.142757</v>
      </c>
      <c r="G15" s="8">
        <f>PRODUCT(G7:G9)</f>
        <v>1.1427569999999998</v>
      </c>
    </row>
    <row r="16" spans="2:12" x14ac:dyDescent="0.25">
      <c r="B16" s="15"/>
      <c r="C16" s="15"/>
      <c r="D16" s="15"/>
      <c r="E16" s="15"/>
      <c r="F16" s="15"/>
      <c r="G16" s="15"/>
    </row>
    <row r="18" spans="2:8" x14ac:dyDescent="0.25">
      <c r="C18" s="6" t="s">
        <v>9</v>
      </c>
    </row>
    <row r="19" spans="2:8" x14ac:dyDescent="0.25">
      <c r="C19" s="6" t="s">
        <v>8</v>
      </c>
      <c r="G19" s="14" t="s">
        <v>7</v>
      </c>
    </row>
    <row r="20" spans="2:8" x14ac:dyDescent="0.25">
      <c r="B20" s="11" t="s">
        <v>6</v>
      </c>
      <c r="C20" s="11" t="s">
        <v>5</v>
      </c>
      <c r="D20" s="13" t="s">
        <v>3</v>
      </c>
      <c r="E20" s="13"/>
      <c r="F20" s="12"/>
      <c r="G20" s="11" t="s">
        <v>4</v>
      </c>
      <c r="H20" s="10" t="s">
        <v>3</v>
      </c>
    </row>
    <row r="21" spans="2:8" ht="6.75" customHeight="1" x14ac:dyDescent="0.25">
      <c r="B21" s="8"/>
      <c r="C21" s="8"/>
      <c r="D21" s="3"/>
      <c r="E21" s="9"/>
      <c r="G21" s="8"/>
      <c r="H21" s="7"/>
    </row>
    <row r="22" spans="2:8" x14ac:dyDescent="0.25">
      <c r="B22" s="6" t="s">
        <v>2</v>
      </c>
      <c r="C22" s="5">
        <f>LN(C7)/LN(C$15)</f>
        <v>0.59894654666020786</v>
      </c>
      <c r="D22" s="4" t="str">
        <f>"= ln("&amp;TEXT(C7,"0.000")&amp;") / ln("&amp;TEXT(C$15,"0.000")&amp;")"</f>
        <v>= ln(1.100) / ln(1.172)</v>
      </c>
      <c r="E22" s="3"/>
      <c r="G22" s="2">
        <f>E$15^C22</f>
        <v>1.0832065623884515</v>
      </c>
      <c r="H22" s="1" t="str">
        <f>"= "&amp;TEXT(E$15,"0.000")&amp;" ^ "&amp;TEXT(C22,"0.000")</f>
        <v>= 1.143 ^ 0.599</v>
      </c>
    </row>
    <row r="23" spans="2:8" x14ac:dyDescent="0.25">
      <c r="B23" s="6" t="s">
        <v>1</v>
      </c>
      <c r="C23" s="5">
        <f>LN(C8)/LN(C$15)</f>
        <v>0.27661013303343579</v>
      </c>
      <c r="D23" s="4" t="str">
        <f>"= ln("&amp;TEXT(C8,"0.000")&amp;") / ln("&amp;TEXT(C$15,"0.000")&amp;")"</f>
        <v>= ln(1.045) / ln(1.172)</v>
      </c>
      <c r="E23" s="3"/>
      <c r="G23" s="2">
        <f>E$15^C23</f>
        <v>1.0376016012598142</v>
      </c>
      <c r="H23" s="1" t="str">
        <f>"= "&amp;TEXT(E$15,"0.000")&amp;" ^ "&amp;TEXT(C23,"0.000")</f>
        <v>= 1.143 ^ 0.277</v>
      </c>
    </row>
    <row r="24" spans="2:8" x14ac:dyDescent="0.25">
      <c r="B24" s="6" t="s">
        <v>0</v>
      </c>
      <c r="C24" s="5">
        <f>LN(C9)/LN(C$15)</f>
        <v>0.12444332030635628</v>
      </c>
      <c r="D24" s="4" t="str">
        <f>"= ln("&amp;TEXT(C9,"0.000")&amp;") / ln("&amp;TEXT(C$15,"0.000")&amp;")"</f>
        <v>= ln(1.020) / ln(1.172)</v>
      </c>
      <c r="E24" s="3"/>
      <c r="G24" s="2">
        <f>E$15^C24</f>
        <v>1.0167448341447136</v>
      </c>
      <c r="H24" s="1" t="str">
        <f>"= "&amp;TEXT(E$15,"0.000")&amp;" ^ "&amp;TEXT(C24,"0.000")</f>
        <v>= 1.143 ^ 0.124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SmoothingLDFs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2026-01-18T16:20:00Z</dcterms:created>
  <dcterms:modified xsi:type="dcterms:W3CDTF">2026-01-18T16:20:19Z</dcterms:modified>
</cp:coreProperties>
</file>