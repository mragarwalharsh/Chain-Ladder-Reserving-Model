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71BADD70-C84B-4732-A9B1-4C777F5DF1A5}" xr6:coauthVersionLast="47" xr6:coauthVersionMax="47" xr10:uidLastSave="{00000000-0000-0000-0000-000000000000}"/>
  <bookViews>
    <workbookView xWindow="-120" yWindow="-120" windowWidth="20730" windowHeight="11160" xr2:uid="{3B157CE7-CC49-45C7-9AD6-B9DED32BB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H24" i="1" s="1"/>
  <c r="E17" i="1"/>
  <c r="E26" i="1"/>
  <c r="E34" i="1" s="1"/>
  <c r="E24" i="1"/>
  <c r="E25" i="1" s="1"/>
  <c r="E33" i="1" s="1"/>
  <c r="E23" i="1"/>
  <c r="G32" i="1" l="1"/>
  <c r="E32" i="1"/>
  <c r="G34" i="1"/>
  <c r="E31" i="1"/>
  <c r="G31" i="1"/>
  <c r="G25" i="1"/>
  <c r="H25" i="1" s="1"/>
  <c r="G33" i="1" l="1"/>
</calcChain>
</file>

<file path=xl/sharedStrings.xml><?xml version="1.0" encoding="utf-8"?>
<sst xmlns="http://schemas.openxmlformats.org/spreadsheetml/2006/main" count="29" uniqueCount="19">
  <si>
    <t>Accident Year</t>
  </si>
  <si>
    <t>Evaluation Date</t>
  </si>
  <si>
    <t>Age (in Months)</t>
  </si>
  <si>
    <t>Incurred Age-to-Ult Factor</t>
  </si>
  <si>
    <t>Incurred Loss at Age 21</t>
  </si>
  <si>
    <t>Estimates of Ultimate Loss via:</t>
  </si>
  <si>
    <t>Initial Expected Ultimate Loss</t>
  </si>
  <si>
    <t>Assumptions</t>
  </si>
  <si>
    <t>Specifications</t>
  </si>
  <si>
    <t>Incurred Benktander Method</t>
  </si>
  <si>
    <t>Implied Weights</t>
  </si>
  <si>
    <t>%Unreported at Age 21</t>
  </si>
  <si>
    <t>Sample Estimates of Ultimate Loss</t>
  </si>
  <si>
    <t>With Indications Represented as a Weighted Average of Two Methods</t>
  </si>
  <si>
    <t>Incurred BF Method</t>
  </si>
  <si>
    <t>Incurred Loss Dev Method</t>
  </si>
  <si>
    <t>Formula as a Weighted Average</t>
  </si>
  <si>
    <t>Stable</t>
  </si>
  <si>
    <t>Responsive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</si>
</sst>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&quot;$&quot;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7030A0"/>
      <name val="Calibri"/>
      <family val="2"/>
      <scheme val="minor"/>
    </font>
    <font>
      <sz val="9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2" fillId="2" borderId="0" xfId="0" applyFont="1" applyFill="1"/>
    <xf numFmtId="0" fontId="0" fillId="2" borderId="0" xfId="0" applyFill="1"/>
    <xf numFmtId="0" fontId="0" fillId="2" borderId="6" xfId="0" applyFill="1" applyBorder="1"/>
    <xf numFmtId="14" fontId="0" fillId="2" borderId="6" xfId="0" applyNumberFormat="1" applyFill="1" applyBorder="1"/>
    <xf numFmtId="165" fontId="0" fillId="2" borderId="6" xfId="1" applyNumberFormat="1" applyFont="1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0" xfId="0" applyFont="1" applyFill="1"/>
    <xf numFmtId="0" fontId="0" fillId="3" borderId="0" xfId="0" applyFill="1"/>
    <xf numFmtId="0" fontId="0" fillId="3" borderId="6" xfId="0" applyFill="1" applyBorder="1"/>
    <xf numFmtId="165" fontId="0" fillId="3" borderId="6" xfId="1" applyNumberFormat="1" applyFont="1" applyFill="1" applyBorder="1"/>
    <xf numFmtId="2" fontId="0" fillId="3" borderId="6" xfId="0" applyNumberFormat="1" applyFill="1" applyBorder="1"/>
    <xf numFmtId="0" fontId="0" fillId="3" borderId="7" xfId="0" applyFill="1" applyBorder="1"/>
    <xf numFmtId="0" fontId="0" fillId="3" borderId="1" xfId="0" applyFill="1" applyBorder="1"/>
    <xf numFmtId="0" fontId="0" fillId="3" borderId="8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2" fillId="4" borderId="0" xfId="0" applyFont="1" applyFill="1"/>
    <xf numFmtId="165" fontId="0" fillId="4" borderId="0" xfId="1" applyNumberFormat="1" applyFont="1" applyFill="1" applyBorder="1"/>
    <xf numFmtId="0" fontId="0" fillId="4" borderId="7" xfId="0" applyFill="1" applyBorder="1"/>
    <xf numFmtId="0" fontId="0" fillId="4" borderId="1" xfId="0" applyFill="1" applyBorder="1"/>
    <xf numFmtId="0" fontId="0" fillId="4" borderId="8" xfId="0" applyFill="1" applyBorder="1"/>
    <xf numFmtId="0" fontId="2" fillId="4" borderId="9" xfId="0" applyFont="1" applyFill="1" applyBorder="1" applyAlignment="1">
      <alignment horizontal="centerContinuous"/>
    </xf>
    <xf numFmtId="0" fontId="0" fillId="4" borderId="9" xfId="0" applyFill="1" applyBorder="1" applyAlignment="1">
      <alignment horizontal="centerContinuous"/>
    </xf>
    <xf numFmtId="164" fontId="0" fillId="4" borderId="0" xfId="0" applyNumberFormat="1" applyFill="1"/>
    <xf numFmtId="0" fontId="3" fillId="4" borderId="0" xfId="0" applyFont="1" applyFill="1"/>
    <xf numFmtId="0" fontId="3" fillId="4" borderId="1" xfId="0" applyFont="1" applyFill="1" applyBorder="1" applyAlignment="1">
      <alignment horizontal="right" wrapText="1"/>
    </xf>
    <xf numFmtId="0" fontId="4" fillId="4" borderId="0" xfId="0" applyFont="1" applyFill="1"/>
    <xf numFmtId="0" fontId="4" fillId="4" borderId="1" xfId="0" applyFont="1" applyFill="1" applyBorder="1" applyAlignment="1">
      <alignment horizontal="right" wrapText="1"/>
    </xf>
    <xf numFmtId="0" fontId="0" fillId="4" borderId="0" xfId="0" applyFill="1" applyAlignment="1">
      <alignment wrapText="1"/>
    </xf>
    <xf numFmtId="165" fontId="5" fillId="3" borderId="0" xfId="1" applyNumberFormat="1" applyFont="1" applyFill="1" applyBorder="1"/>
    <xf numFmtId="2" fontId="5" fillId="3" borderId="0" xfId="0" applyNumberFormat="1" applyFont="1" applyFill="1"/>
    <xf numFmtId="164" fontId="5" fillId="3" borderId="0" xfId="2" applyNumberFormat="1" applyFont="1" applyFill="1" applyBorder="1"/>
    <xf numFmtId="0" fontId="6" fillId="2" borderId="0" xfId="0" applyFont="1" applyFill="1"/>
    <xf numFmtId="14" fontId="6" fillId="2" borderId="0" xfId="0" applyNumberFormat="1" applyFont="1" applyFill="1"/>
    <xf numFmtId="165" fontId="6" fillId="2" borderId="0" xfId="1" applyNumberFormat="1" applyFont="1" applyFill="1" applyBorder="1"/>
    <xf numFmtId="0" fontId="8" fillId="0" borderId="0" xfId="0" applyFont="1"/>
    <xf numFmtId="0" fontId="9" fillId="0" borderId="0" xfId="0" applyFont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2" fillId="5" borderId="0" xfId="0" applyFont="1" applyFill="1"/>
    <xf numFmtId="0" fontId="0" fillId="5" borderId="0" xfId="0" applyFill="1"/>
    <xf numFmtId="164" fontId="2" fillId="5" borderId="1" xfId="0" applyNumberFormat="1" applyFont="1" applyFill="1" applyBorder="1"/>
    <xf numFmtId="0" fontId="0" fillId="5" borderId="6" xfId="0" applyFill="1" applyBorder="1"/>
    <xf numFmtId="0" fontId="3" fillId="5" borderId="0" xfId="0" applyFont="1" applyFill="1"/>
    <xf numFmtId="165" fontId="0" fillId="5" borderId="0" xfId="1" applyNumberFormat="1" applyFont="1" applyFill="1" applyBorder="1"/>
    <xf numFmtId="164" fontId="7" fillId="5" borderId="0" xfId="0" quotePrefix="1" applyNumberFormat="1" applyFont="1" applyFill="1"/>
    <xf numFmtId="164" fontId="0" fillId="5" borderId="0" xfId="0" applyNumberFormat="1" applyFill="1"/>
    <xf numFmtId="0" fontId="0" fillId="5" borderId="0" xfId="0" applyFill="1" applyAlignment="1">
      <alignment wrapText="1"/>
    </xf>
    <xf numFmtId="0" fontId="4" fillId="5" borderId="0" xfId="0" applyFont="1" applyFill="1"/>
    <xf numFmtId="0" fontId="0" fillId="5" borderId="7" xfId="0" applyFill="1" applyBorder="1"/>
    <xf numFmtId="0" fontId="0" fillId="5" borderId="1" xfId="0" applyFill="1" applyBorder="1"/>
    <xf numFmtId="0" fontId="0" fillId="5" borderId="8" xfId="0" applyFill="1" applyBorder="1"/>
    <xf numFmtId="0" fontId="0" fillId="0" borderId="0" xfId="0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114301</xdr:colOff>
      <xdr:row>15</xdr:row>
      <xdr:rowOff>171450</xdr:rowOff>
    </xdr:from>
    <xdr:to>
      <xdr:col>7</xdr:col>
      <xdr:colOff>114301</xdr:colOff>
      <xdr:row>17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AB028E-4662-B3C5-F0FE-4D2AE64F18C6}"/>
            </a:ext>
          </a:extLst>
        </xdr:cNvPr>
        <xdr:cNvSpPr txBox="1"/>
      </xdr:nvSpPr>
      <xdr:spPr>
        <a:xfrm>
          <a:off x="4457701" y="2714625"/>
          <a:ext cx="9144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= 1 - 1 / 1.75</a:t>
          </a:r>
        </a:p>
      </xdr:txBody>
    </xdr:sp>
    <xdr:clientData/>
  </xdr:twoCellAnchor>
  <xdr:twoCellAnchor>
    <xdr:from>
      <xdr:col>9</xdr:col>
      <xdr:colOff>114300</xdr:colOff>
      <xdr:row>22</xdr:row>
      <xdr:rowOff>95250</xdr:rowOff>
    </xdr:from>
    <xdr:to>
      <xdr:col>9</xdr:col>
      <xdr:colOff>114300</xdr:colOff>
      <xdr:row>25</xdr:row>
      <xdr:rowOff>200025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306180B-8C6C-F98E-6858-6B4FBF7D9973}"/>
            </a:ext>
          </a:extLst>
        </xdr:cNvPr>
        <xdr:cNvCxnSpPr/>
      </xdr:nvCxnSpPr>
      <xdr:spPr>
        <a:xfrm>
          <a:off x="5638800" y="3971925"/>
          <a:ext cx="0" cy="819150"/>
        </a:xfrm>
        <a:prstGeom prst="straightConnector1">
          <a:avLst/>
        </a:prstGeom>
        <a:ln>
          <a:gradFill>
            <a:gsLst>
              <a:gs pos="0">
                <a:srgbClr val="7030A0"/>
              </a:gs>
              <a:gs pos="100000">
                <a:srgbClr val="C00000"/>
              </a:gs>
            </a:gsLst>
            <a:lin ang="5400000" scaled="1"/>
          </a:gra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</xdr:colOff>
      <xdr:row>30</xdr:row>
      <xdr:rowOff>95250</xdr:rowOff>
    </xdr:from>
    <xdr:to>
      <xdr:col>9</xdr:col>
      <xdr:colOff>114300</xdr:colOff>
      <xdr:row>33</xdr:row>
      <xdr:rowOff>200025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A4DFA0C-1E3E-4411-B7FF-7CB69EA36A38}"/>
            </a:ext>
          </a:extLst>
        </xdr:cNvPr>
        <xdr:cNvCxnSpPr/>
      </xdr:nvCxnSpPr>
      <xdr:spPr>
        <a:xfrm>
          <a:off x="5638800" y="3971925"/>
          <a:ext cx="0" cy="819150"/>
        </a:xfrm>
        <a:prstGeom prst="straightConnector1">
          <a:avLst/>
        </a:prstGeom>
        <a:ln>
          <a:gradFill>
            <a:gsLst>
              <a:gs pos="0">
                <a:srgbClr val="7030A0"/>
              </a:gs>
              <a:gs pos="100000">
                <a:srgbClr val="C00000"/>
              </a:gs>
            </a:gsLst>
            <a:lin ang="5400000" scaled="1"/>
          </a:gra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4BD7-6959-4D18-B406-446C60FE0112}">
  <dimension ref="B2:K35"/>
  <sheetViews>
    <sheetView showGridLines="0" tabSelected="1" workbookViewId="0"/>
  </sheetViews>
  <sheetFormatPr defaultRowHeight="15" x14ac:dyDescent="0.25"/>
  <cols>
    <col min="1" max="1" width="3.85546875" customWidth="1"/>
    <col min="2" max="2" width="2" customWidth="1"/>
    <col min="3" max="3" width="3.28515625" customWidth="1"/>
    <col min="4" max="4" width="27.85546875" customWidth="1"/>
    <col min="5" max="5" width="10.5703125" bestFit="1" customWidth="1"/>
    <col min="6" max="6" width="3.28515625" customWidth="1"/>
    <col min="7" max="8" width="15" customWidth="1"/>
    <col min="9" max="9" width="2" customWidth="1"/>
    <col min="10" max="10" width="3.28515625" customWidth="1"/>
    <col min="11" max="11" width="10" customWidth="1"/>
  </cols>
  <sheetData>
    <row r="2" spans="2:6" ht="15.75" x14ac:dyDescent="0.25">
      <c r="B2" s="50" t="s">
        <v>12</v>
      </c>
    </row>
    <row r="3" spans="2:6" ht="15.75" x14ac:dyDescent="0.25">
      <c r="B3" s="51" t="s">
        <v>13</v>
      </c>
    </row>
    <row r="5" spans="2:6" ht="6.75" customHeight="1" x14ac:dyDescent="0.25">
      <c r="B5" s="1"/>
      <c r="C5" s="2"/>
      <c r="D5" s="2"/>
      <c r="E5" s="2"/>
      <c r="F5" s="3"/>
    </row>
    <row r="6" spans="2:6" x14ac:dyDescent="0.25">
      <c r="B6" s="4"/>
      <c r="C6" s="5" t="s">
        <v>8</v>
      </c>
      <c r="D6" s="6"/>
      <c r="E6" s="6"/>
      <c r="F6" s="7"/>
    </row>
    <row r="7" spans="2:6" x14ac:dyDescent="0.25">
      <c r="B7" s="4"/>
      <c r="C7" s="6"/>
      <c r="D7" s="6" t="s">
        <v>0</v>
      </c>
      <c r="E7" s="47">
        <v>2022</v>
      </c>
      <c r="F7" s="7"/>
    </row>
    <row r="8" spans="2:6" x14ac:dyDescent="0.25">
      <c r="B8" s="4"/>
      <c r="C8" s="6"/>
      <c r="D8" s="6" t="s">
        <v>1</v>
      </c>
      <c r="E8" s="48">
        <v>45199</v>
      </c>
      <c r="F8" s="8"/>
    </row>
    <row r="9" spans="2:6" x14ac:dyDescent="0.25">
      <c r="B9" s="4"/>
      <c r="C9" s="6"/>
      <c r="D9" s="6" t="s">
        <v>2</v>
      </c>
      <c r="E9" s="47">
        <v>21</v>
      </c>
      <c r="F9" s="7"/>
    </row>
    <row r="10" spans="2:6" x14ac:dyDescent="0.25">
      <c r="B10" s="4"/>
      <c r="C10" s="6"/>
      <c r="D10" s="6" t="s">
        <v>4</v>
      </c>
      <c r="E10" s="49">
        <v>1000</v>
      </c>
      <c r="F10" s="9"/>
    </row>
    <row r="11" spans="2:6" ht="6.75" customHeight="1" x14ac:dyDescent="0.25">
      <c r="B11" s="10"/>
      <c r="C11" s="11"/>
      <c r="D11" s="11"/>
      <c r="E11" s="11"/>
      <c r="F11" s="12"/>
    </row>
    <row r="13" spans="2:6" ht="6.75" customHeight="1" x14ac:dyDescent="0.25">
      <c r="B13" s="13"/>
      <c r="C13" s="14"/>
      <c r="D13" s="14"/>
      <c r="E13" s="14"/>
      <c r="F13" s="15"/>
    </row>
    <row r="14" spans="2:6" x14ac:dyDescent="0.25">
      <c r="B14" s="16"/>
      <c r="C14" s="17" t="s">
        <v>7</v>
      </c>
      <c r="D14" s="18"/>
      <c r="E14" s="18"/>
      <c r="F14" s="19"/>
    </row>
    <row r="15" spans="2:6" x14ac:dyDescent="0.25">
      <c r="B15" s="16"/>
      <c r="C15" s="18"/>
      <c r="D15" s="18" t="s">
        <v>6</v>
      </c>
      <c r="E15" s="44">
        <v>2000</v>
      </c>
      <c r="F15" s="20"/>
    </row>
    <row r="16" spans="2:6" x14ac:dyDescent="0.25">
      <c r="B16" s="16"/>
      <c r="C16" s="18"/>
      <c r="D16" s="18" t="s">
        <v>3</v>
      </c>
      <c r="E16" s="45">
        <v>1.75</v>
      </c>
      <c r="F16" s="21"/>
    </row>
    <row r="17" spans="2:11" x14ac:dyDescent="0.25">
      <c r="B17" s="16"/>
      <c r="C17" s="18"/>
      <c r="D17" s="18" t="s">
        <v>11</v>
      </c>
      <c r="E17" s="46">
        <f>1-1/E16</f>
        <v>0.4285714285714286</v>
      </c>
      <c r="F17" s="21"/>
    </row>
    <row r="18" spans="2:11" ht="6.75" customHeight="1" x14ac:dyDescent="0.25">
      <c r="B18" s="22"/>
      <c r="C18" s="23"/>
      <c r="D18" s="23"/>
      <c r="E18" s="23"/>
      <c r="F18" s="24"/>
    </row>
    <row r="20" spans="2:11" ht="6.75" customHeight="1" x14ac:dyDescent="0.25">
      <c r="B20" s="25"/>
      <c r="C20" s="26"/>
      <c r="D20" s="26"/>
      <c r="E20" s="26"/>
      <c r="F20" s="26"/>
      <c r="G20" s="26"/>
      <c r="H20" s="26"/>
      <c r="I20" s="27"/>
    </row>
    <row r="21" spans="2:11" x14ac:dyDescent="0.25">
      <c r="B21" s="28"/>
      <c r="C21" s="29"/>
      <c r="D21" s="29"/>
      <c r="E21" s="29"/>
      <c r="F21" s="29"/>
      <c r="G21" s="36" t="s">
        <v>10</v>
      </c>
      <c r="H21" s="37"/>
      <c r="I21" s="30"/>
    </row>
    <row r="22" spans="2:11" ht="30" x14ac:dyDescent="0.25">
      <c r="B22" s="28"/>
      <c r="C22" s="31" t="s">
        <v>5</v>
      </c>
      <c r="D22" s="29"/>
      <c r="E22" s="29"/>
      <c r="F22" s="29"/>
      <c r="G22" s="40" t="s">
        <v>6</v>
      </c>
      <c r="H22" s="42" t="s">
        <v>15</v>
      </c>
      <c r="I22" s="30"/>
    </row>
    <row r="23" spans="2:11" ht="18.75" customHeight="1" x14ac:dyDescent="0.25">
      <c r="B23" s="28"/>
      <c r="C23" s="29"/>
      <c r="D23" s="39" t="s">
        <v>6</v>
      </c>
      <c r="E23" s="32">
        <f>E15</f>
        <v>2000</v>
      </c>
      <c r="F23" s="32"/>
      <c r="G23" s="38">
        <v>1</v>
      </c>
      <c r="H23" s="38">
        <v>0</v>
      </c>
      <c r="I23" s="30"/>
      <c r="K23" s="70" t="s">
        <v>17</v>
      </c>
    </row>
    <row r="24" spans="2:11" ht="18.75" customHeight="1" x14ac:dyDescent="0.25">
      <c r="B24" s="28"/>
      <c r="C24" s="29"/>
      <c r="D24" s="43" t="s">
        <v>14</v>
      </c>
      <c r="E24" s="32">
        <f>E10+(1-1/E16)*E15</f>
        <v>1857.1428571428573</v>
      </c>
      <c r="F24" s="32"/>
      <c r="G24" s="38">
        <f>E17</f>
        <v>0.4285714285714286</v>
      </c>
      <c r="H24" s="38">
        <f>1-G24</f>
        <v>0.5714285714285714</v>
      </c>
      <c r="I24" s="30"/>
      <c r="K24" s="69"/>
    </row>
    <row r="25" spans="2:11" ht="18.75" customHeight="1" x14ac:dyDescent="0.25">
      <c r="B25" s="28"/>
      <c r="C25" s="29"/>
      <c r="D25" s="29" t="s">
        <v>9</v>
      </c>
      <c r="E25" s="32">
        <f>E10+E24*(1-1/E16)</f>
        <v>1795.9183673469388</v>
      </c>
      <c r="F25" s="32"/>
      <c r="G25" s="38">
        <f>G24^2</f>
        <v>0.18367346938775514</v>
      </c>
      <c r="H25" s="38">
        <f>1-G25</f>
        <v>0.81632653061224492</v>
      </c>
      <c r="I25" s="30"/>
      <c r="K25" s="69"/>
    </row>
    <row r="26" spans="2:11" ht="18.75" customHeight="1" x14ac:dyDescent="0.25">
      <c r="B26" s="28"/>
      <c r="C26" s="29"/>
      <c r="D26" s="41" t="s">
        <v>15</v>
      </c>
      <c r="E26" s="32">
        <f>E10*E16</f>
        <v>1750</v>
      </c>
      <c r="F26" s="32"/>
      <c r="G26" s="38">
        <v>0</v>
      </c>
      <c r="H26" s="38">
        <v>1</v>
      </c>
      <c r="I26" s="30"/>
      <c r="K26" s="71" t="s">
        <v>18</v>
      </c>
    </row>
    <row r="27" spans="2:11" ht="6.75" customHeight="1" x14ac:dyDescent="0.25">
      <c r="B27" s="33"/>
      <c r="C27" s="34"/>
      <c r="D27" s="34"/>
      <c r="E27" s="34"/>
      <c r="F27" s="34"/>
      <c r="G27" s="34"/>
      <c r="H27" s="34"/>
      <c r="I27" s="35"/>
    </row>
    <row r="29" spans="2:11" ht="6.75" customHeight="1" x14ac:dyDescent="0.25">
      <c r="B29" s="52"/>
      <c r="C29" s="53"/>
      <c r="D29" s="53"/>
      <c r="E29" s="53"/>
      <c r="F29" s="53"/>
      <c r="G29" s="53"/>
      <c r="H29" s="53"/>
      <c r="I29" s="54"/>
    </row>
    <row r="30" spans="2:11" x14ac:dyDescent="0.25">
      <c r="B30" s="55"/>
      <c r="C30" s="56" t="s">
        <v>5</v>
      </c>
      <c r="D30" s="57"/>
      <c r="E30" s="57"/>
      <c r="F30" s="57"/>
      <c r="G30" s="58" t="s">
        <v>16</v>
      </c>
      <c r="H30" s="58"/>
      <c r="I30" s="59"/>
    </row>
    <row r="31" spans="2:11" ht="18.75" customHeight="1" x14ac:dyDescent="0.25">
      <c r="B31" s="55"/>
      <c r="C31" s="57"/>
      <c r="D31" s="60" t="s">
        <v>6</v>
      </c>
      <c r="E31" s="61">
        <f>E23</f>
        <v>2000</v>
      </c>
      <c r="F31" s="61"/>
      <c r="G31" s="62" t="str">
        <f>"= " &amp;TEXT(E$23,"$0,0")&amp;" x "&amp;TEXT(G23,"0.0%")&amp;"  +  "&amp;TEXT(E$26,"$0,0")&amp;" x "&amp;TEXT(H23,"0.0%")</f>
        <v>= $2,000 x 100.0%  +  $1,750 x 0.0%</v>
      </c>
      <c r="H31" s="63"/>
      <c r="I31" s="59"/>
      <c r="K31" s="70" t="s">
        <v>17</v>
      </c>
    </row>
    <row r="32" spans="2:11" ht="18.75" customHeight="1" x14ac:dyDescent="0.25">
      <c r="B32" s="55"/>
      <c r="C32" s="57"/>
      <c r="D32" s="64" t="s">
        <v>14</v>
      </c>
      <c r="E32" s="61">
        <f t="shared" ref="E32:E34" si="0">E24</f>
        <v>1857.1428571428573</v>
      </c>
      <c r="F32" s="61"/>
      <c r="G32" s="62" t="str">
        <f t="shared" ref="G32:G34" si="1">"= " &amp;TEXT(E$23,"$0,0")&amp;" x "&amp;TEXT(G24,"0.0%")&amp;"  +  "&amp;TEXT(E$26,"$0,0")&amp;" x "&amp;TEXT(H24,"0.0%")</f>
        <v>= $2,000 x 42.9%  +  $1,750 x 57.1%</v>
      </c>
      <c r="H32" s="63"/>
      <c r="I32" s="59"/>
      <c r="K32" s="69"/>
    </row>
    <row r="33" spans="2:11" ht="18.75" customHeight="1" x14ac:dyDescent="0.25">
      <c r="B33" s="55"/>
      <c r="C33" s="57"/>
      <c r="D33" s="57" t="s">
        <v>9</v>
      </c>
      <c r="E33" s="61">
        <f t="shared" si="0"/>
        <v>1795.9183673469388</v>
      </c>
      <c r="F33" s="61"/>
      <c r="G33" s="62" t="str">
        <f t="shared" si="1"/>
        <v>= $2,000 x 18.4%  +  $1,750 x 81.6%</v>
      </c>
      <c r="H33" s="63"/>
      <c r="I33" s="59"/>
      <c r="K33" s="69"/>
    </row>
    <row r="34" spans="2:11" ht="18.75" customHeight="1" x14ac:dyDescent="0.25">
      <c r="B34" s="55"/>
      <c r="C34" s="57"/>
      <c r="D34" s="65" t="s">
        <v>15</v>
      </c>
      <c r="E34" s="61">
        <f t="shared" si="0"/>
        <v>1750</v>
      </c>
      <c r="F34" s="61"/>
      <c r="G34" s="62" t="str">
        <f t="shared" si="1"/>
        <v>= $2,000 x 0.0%  +  $1,750 x 100.0%</v>
      </c>
      <c r="H34" s="63"/>
      <c r="I34" s="59"/>
      <c r="K34" s="71" t="s">
        <v>18</v>
      </c>
    </row>
    <row r="35" spans="2:11" ht="6.75" customHeight="1" x14ac:dyDescent="0.25">
      <c r="B35" s="66"/>
      <c r="C35" s="67"/>
      <c r="D35" s="67"/>
      <c r="E35" s="67"/>
      <c r="F35" s="67"/>
      <c r="G35" s="67"/>
      <c r="H35" s="67"/>
      <c r="I35" s="6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2026-01-18T16:19:01Z</dcterms:created>
  <dcterms:modified xsi:type="dcterms:W3CDTF">2026-01-18T16:19:16Z</dcterms:modified>
</cp:coreProperties>
</file>