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8E757A0C-A071-463D-ADC6-170AC282D17C}" xr6:coauthVersionLast="47" xr6:coauthVersionMax="47" xr10:uidLastSave="{00000000-0000-0000-0000-000000000000}"/>
  <bookViews>
    <workbookView xWindow="-120" yWindow="-120" windowWidth="20730" windowHeight="11160" xr2:uid="{7DE02D4C-9956-4532-B5EF-0C47C7CCC465}"/>
  </bookViews>
  <sheets>
    <sheet name="Example" sheetId="1" r:id="rId1"/>
  </sheets>
  <definedNames>
    <definedName name="ATU_Table">Example!$N$10:$Q$20</definedName>
    <definedName name="ExposureTable_PY">Example!$C$10:$D$34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AD10" i="1"/>
  <c r="AC11" i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N11" i="1"/>
  <c r="N12" i="1" s="1"/>
  <c r="N13" i="1" s="1"/>
  <c r="N14" i="1" s="1"/>
  <c r="N15" i="1" s="1"/>
  <c r="N16" i="1" s="1"/>
  <c r="N17" i="1" s="1"/>
  <c r="N18" i="1" s="1"/>
  <c r="N19" i="1" s="1"/>
  <c r="N20" i="1" s="1"/>
  <c r="U11" i="1"/>
  <c r="J12" i="1"/>
  <c r="O12" i="1" s="1"/>
  <c r="J13" i="1"/>
  <c r="O13" i="1" s="1"/>
  <c r="J14" i="1"/>
  <c r="O14" i="1" s="1"/>
  <c r="J15" i="1"/>
  <c r="O15" i="1" s="1"/>
  <c r="J16" i="1"/>
  <c r="O16" i="1" s="1"/>
  <c r="J17" i="1"/>
  <c r="O17" i="1" s="1"/>
  <c r="J18" i="1"/>
  <c r="O18" i="1" s="1"/>
  <c r="J19" i="1"/>
  <c r="O19" i="1" s="1"/>
  <c r="J20" i="1"/>
  <c r="O20" i="1" s="1"/>
  <c r="J11" i="1"/>
  <c r="O11" i="1" s="1"/>
  <c r="H11" i="1"/>
  <c r="H12" i="1" s="1"/>
  <c r="H13" i="1" s="1"/>
  <c r="H14" i="1" s="1"/>
  <c r="H15" i="1" s="1"/>
  <c r="H16" i="1" s="1"/>
  <c r="H17" i="1" s="1"/>
  <c r="H18" i="1" s="1"/>
  <c r="H19" i="1" s="1"/>
  <c r="H20" i="1" s="1"/>
  <c r="P20" i="1" s="1"/>
  <c r="C11" i="1"/>
  <c r="D11" i="1" s="1"/>
  <c r="D10" i="1"/>
  <c r="AE10" i="1" s="1"/>
  <c r="AF10" i="1" s="1"/>
  <c r="P10" i="1" l="1"/>
  <c r="U12" i="1"/>
  <c r="U13" i="1" s="1"/>
  <c r="Q20" i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9" i="1"/>
  <c r="Q19" i="1" s="1"/>
  <c r="C12" i="1"/>
  <c r="U14" i="1" l="1"/>
  <c r="D12" i="1"/>
  <c r="C13" i="1"/>
  <c r="W13" i="1" l="1"/>
  <c r="U15" i="1"/>
  <c r="W11" i="1"/>
  <c r="W14" i="1"/>
  <c r="W12" i="1"/>
  <c r="C14" i="1"/>
  <c r="D13" i="1"/>
  <c r="AE11" i="1" s="1"/>
  <c r="U16" i="1" l="1"/>
  <c r="C15" i="1"/>
  <c r="D14" i="1"/>
  <c r="U17" i="1" l="1"/>
  <c r="D15" i="1"/>
  <c r="C16" i="1"/>
  <c r="U18" i="1" l="1"/>
  <c r="C17" i="1"/>
  <c r="D16" i="1"/>
  <c r="U19" i="1" l="1"/>
  <c r="W18" i="1"/>
  <c r="W15" i="1"/>
  <c r="W16" i="1"/>
  <c r="W17" i="1"/>
  <c r="D17" i="1"/>
  <c r="C18" i="1"/>
  <c r="U20" i="1" l="1"/>
  <c r="C19" i="1"/>
  <c r="D18" i="1"/>
  <c r="U21" i="1" l="1"/>
  <c r="C20" i="1"/>
  <c r="D19" i="1"/>
  <c r="U22" i="1" l="1"/>
  <c r="D20" i="1"/>
  <c r="C21" i="1"/>
  <c r="W21" i="1" l="1"/>
  <c r="V22" i="1"/>
  <c r="U23" i="1"/>
  <c r="W22" i="1"/>
  <c r="W19" i="1"/>
  <c r="W20" i="1"/>
  <c r="C22" i="1"/>
  <c r="D21" i="1"/>
  <c r="U24" i="1" l="1"/>
  <c r="C23" i="1"/>
  <c r="D22" i="1"/>
  <c r="U25" i="1" l="1"/>
  <c r="C24" i="1"/>
  <c r="D23" i="1"/>
  <c r="U26" i="1" l="1"/>
  <c r="C25" i="1"/>
  <c r="D24" i="1"/>
  <c r="W25" i="1" l="1"/>
  <c r="V26" i="1"/>
  <c r="U27" i="1"/>
  <c r="W26" i="1"/>
  <c r="W23" i="1"/>
  <c r="W24" i="1"/>
  <c r="C26" i="1"/>
  <c r="D25" i="1"/>
  <c r="X25" i="1" l="1"/>
  <c r="X24" i="1"/>
  <c r="Y24" i="1" s="1"/>
  <c r="X23" i="1"/>
  <c r="Y23" i="1" s="1"/>
  <c r="X26" i="1"/>
  <c r="Y26" i="1" s="1"/>
  <c r="U28" i="1"/>
  <c r="D26" i="1"/>
  <c r="C27" i="1"/>
  <c r="AF25" i="1" l="1"/>
  <c r="AG25" i="1" s="1"/>
  <c r="Y25" i="1"/>
  <c r="AD25" i="1"/>
  <c r="AF26" i="1"/>
  <c r="AG26" i="1" s="1"/>
  <c r="AD26" i="1"/>
  <c r="AF23" i="1"/>
  <c r="AG23" i="1" s="1"/>
  <c r="AD23" i="1"/>
  <c r="AF24" i="1"/>
  <c r="AG24" i="1" s="1"/>
  <c r="AD24" i="1"/>
  <c r="U29" i="1"/>
  <c r="C28" i="1"/>
  <c r="D27" i="1"/>
  <c r="U30" i="1" l="1"/>
  <c r="C29" i="1"/>
  <c r="D28" i="1"/>
  <c r="W29" i="1" l="1"/>
  <c r="V30" i="1"/>
  <c r="U31" i="1"/>
  <c r="W30" i="1"/>
  <c r="W27" i="1"/>
  <c r="W28" i="1"/>
  <c r="C30" i="1"/>
  <c r="D29" i="1"/>
  <c r="X29" i="1" l="1"/>
  <c r="X28" i="1"/>
  <c r="Y28" i="1" s="1"/>
  <c r="X27" i="1"/>
  <c r="Y27" i="1" s="1"/>
  <c r="X30" i="1"/>
  <c r="Y30" i="1" s="1"/>
  <c r="U32" i="1"/>
  <c r="C31" i="1"/>
  <c r="D30" i="1"/>
  <c r="AF29" i="1" l="1"/>
  <c r="AG29" i="1" s="1"/>
  <c r="Y29" i="1"/>
  <c r="AD29" i="1"/>
  <c r="AF27" i="1"/>
  <c r="AG27" i="1" s="1"/>
  <c r="AD27" i="1"/>
  <c r="AF30" i="1"/>
  <c r="AG30" i="1" s="1"/>
  <c r="AD30" i="1"/>
  <c r="AF28" i="1"/>
  <c r="AG28" i="1" s="1"/>
  <c r="AD28" i="1"/>
  <c r="U33" i="1"/>
  <c r="D31" i="1"/>
  <c r="C32" i="1"/>
  <c r="U34" i="1" l="1"/>
  <c r="D32" i="1"/>
  <c r="C33" i="1"/>
  <c r="W33" i="1" l="1"/>
  <c r="V34" i="1"/>
  <c r="U35" i="1"/>
  <c r="W34" i="1"/>
  <c r="W31" i="1"/>
  <c r="W32" i="1"/>
  <c r="C34" i="1"/>
  <c r="D33" i="1"/>
  <c r="X33" i="1" l="1"/>
  <c r="X32" i="1"/>
  <c r="X31" i="1"/>
  <c r="X34" i="1"/>
  <c r="Y34" i="1" s="1"/>
  <c r="U36" i="1"/>
  <c r="D34" i="1"/>
  <c r="AF31" i="1" l="1"/>
  <c r="AG31" i="1" s="1"/>
  <c r="Y31" i="1"/>
  <c r="AF32" i="1"/>
  <c r="AG32" i="1" s="1"/>
  <c r="Y32" i="1"/>
  <c r="AF33" i="1"/>
  <c r="AG33" i="1" s="1"/>
  <c r="Y33" i="1"/>
  <c r="AD32" i="1"/>
  <c r="AD31" i="1"/>
  <c r="AD33" i="1"/>
  <c r="AF34" i="1"/>
  <c r="AG34" i="1" s="1"/>
  <c r="AD34" i="1"/>
  <c r="U37" i="1"/>
  <c r="AE13" i="1"/>
  <c r="AE12" i="1"/>
  <c r="AE14" i="1"/>
  <c r="AE16" i="1"/>
  <c r="AE15" i="1"/>
  <c r="AE17" i="1"/>
  <c r="AE18" i="1"/>
  <c r="P11" i="1"/>
  <c r="Q11" i="1" s="1"/>
  <c r="V14" i="1" s="1"/>
  <c r="P12" i="1"/>
  <c r="Q12" i="1" s="1"/>
  <c r="V18" i="1" s="1"/>
  <c r="X11" i="1" l="1"/>
  <c r="X14" i="1"/>
  <c r="X13" i="1"/>
  <c r="X12" i="1"/>
  <c r="X15" i="1"/>
  <c r="X16" i="1"/>
  <c r="X17" i="1"/>
  <c r="X18" i="1"/>
  <c r="X21" i="1"/>
  <c r="X20" i="1"/>
  <c r="X19" i="1"/>
  <c r="X22" i="1"/>
  <c r="U38" i="1"/>
  <c r="Y22" i="1" l="1"/>
  <c r="Y21" i="1"/>
  <c r="Y19" i="1"/>
  <c r="Y20" i="1"/>
  <c r="Y11" i="1"/>
  <c r="AD17" i="1"/>
  <c r="Y17" i="1"/>
  <c r="AD15" i="1"/>
  <c r="Y15" i="1"/>
  <c r="AD14" i="1"/>
  <c r="Y14" i="1"/>
  <c r="AD18" i="1"/>
  <c r="Y18" i="1"/>
  <c r="AD16" i="1"/>
  <c r="Y16" i="1"/>
  <c r="AD12" i="1"/>
  <c r="Y12" i="1"/>
  <c r="AD13" i="1"/>
  <c r="Y13" i="1"/>
  <c r="AM10" i="1" s="1"/>
  <c r="AF13" i="1"/>
  <c r="AF14" i="1"/>
  <c r="AF19" i="1"/>
  <c r="AD19" i="1"/>
  <c r="AF20" i="1"/>
  <c r="AD20" i="1"/>
  <c r="AF18" i="1"/>
  <c r="AF17" i="1"/>
  <c r="AF21" i="1"/>
  <c r="AD21" i="1"/>
  <c r="AF16" i="1"/>
  <c r="W37" i="1"/>
  <c r="V38" i="1"/>
  <c r="AF12" i="1"/>
  <c r="AF15" i="1"/>
  <c r="AF22" i="1"/>
  <c r="AD22" i="1"/>
  <c r="AD11" i="1"/>
  <c r="AF11" i="1"/>
  <c r="U39" i="1"/>
  <c r="W38" i="1"/>
  <c r="W35" i="1"/>
  <c r="W36" i="1"/>
  <c r="AG17" i="1" l="1"/>
  <c r="AG18" i="1"/>
  <c r="AG20" i="1"/>
  <c r="AG11" i="1"/>
  <c r="AG22" i="1"/>
  <c r="AG19" i="1"/>
  <c r="AG15" i="1"/>
  <c r="AG12" i="1"/>
  <c r="AG14" i="1"/>
  <c r="AG13" i="1"/>
  <c r="AL10" i="1" s="1"/>
  <c r="AG16" i="1"/>
  <c r="AG21" i="1"/>
  <c r="X37" i="1"/>
  <c r="X36" i="1"/>
  <c r="X35" i="1"/>
  <c r="X38" i="1"/>
  <c r="Y38" i="1" s="1"/>
  <c r="U40" i="1"/>
  <c r="AF35" i="1" l="1"/>
  <c r="AG35" i="1" s="1"/>
  <c r="Y35" i="1"/>
  <c r="AF36" i="1"/>
  <c r="AG36" i="1" s="1"/>
  <c r="Y36" i="1"/>
  <c r="AF37" i="1"/>
  <c r="AG37" i="1" s="1"/>
  <c r="Y37" i="1"/>
  <c r="AD37" i="1"/>
  <c r="AD36" i="1"/>
  <c r="AD35" i="1"/>
  <c r="AF38" i="1"/>
  <c r="AG38" i="1" s="1"/>
  <c r="AD38" i="1"/>
  <c r="U41" i="1"/>
  <c r="U42" i="1" l="1"/>
  <c r="V42" i="1" s="1"/>
  <c r="W41" i="1"/>
  <c r="U43" i="1" l="1"/>
  <c r="X41" i="1"/>
  <c r="Y41" i="1" s="1"/>
  <c r="W42" i="1"/>
  <c r="W39" i="1"/>
  <c r="W40" i="1"/>
  <c r="AF41" i="1" l="1"/>
  <c r="AG41" i="1" s="1"/>
  <c r="AD41" i="1"/>
  <c r="X39" i="1"/>
  <c r="Y39" i="1" s="1"/>
  <c r="X40" i="1"/>
  <c r="Y40" i="1" s="1"/>
  <c r="X42" i="1"/>
  <c r="Y42" i="1" s="1"/>
  <c r="U44" i="1"/>
  <c r="AF42" i="1" l="1"/>
  <c r="AG42" i="1" s="1"/>
  <c r="AD42" i="1"/>
  <c r="AF40" i="1"/>
  <c r="AG40" i="1" s="1"/>
  <c r="AD40" i="1"/>
  <c r="AF39" i="1"/>
  <c r="AG39" i="1" s="1"/>
  <c r="AD39" i="1"/>
  <c r="U45" i="1"/>
  <c r="U46" i="1" l="1"/>
  <c r="V46" i="1" s="1"/>
  <c r="W45" i="1" l="1"/>
  <c r="U47" i="1"/>
  <c r="W46" i="1"/>
  <c r="X45" i="1"/>
  <c r="Y45" i="1" s="1"/>
  <c r="W43" i="1"/>
  <c r="W44" i="1"/>
  <c r="AF45" i="1" l="1"/>
  <c r="AG45" i="1" s="1"/>
  <c r="AD45" i="1"/>
  <c r="X44" i="1"/>
  <c r="Y44" i="1" s="1"/>
  <c r="X43" i="1"/>
  <c r="Y43" i="1" s="1"/>
  <c r="X46" i="1"/>
  <c r="Y46" i="1" s="1"/>
  <c r="U48" i="1"/>
  <c r="AF46" i="1" l="1"/>
  <c r="AG46" i="1" s="1"/>
  <c r="AD46" i="1"/>
  <c r="AF43" i="1"/>
  <c r="AG43" i="1" s="1"/>
  <c r="AD43" i="1"/>
  <c r="AF44" i="1"/>
  <c r="AG44" i="1" s="1"/>
  <c r="AD44" i="1"/>
  <c r="U49" i="1"/>
  <c r="U50" i="1" l="1"/>
  <c r="W49" i="1" l="1"/>
  <c r="V50" i="1"/>
  <c r="X49" i="1" s="1"/>
  <c r="Y49" i="1" s="1"/>
  <c r="W50" i="1"/>
  <c r="W47" i="1"/>
  <c r="W48" i="1"/>
  <c r="X47" i="1" l="1"/>
  <c r="AD47" i="1" s="1"/>
  <c r="X48" i="1"/>
  <c r="Y48" i="1" s="1"/>
  <c r="X50" i="1"/>
  <c r="AF48" i="1"/>
  <c r="AG48" i="1" s="1"/>
  <c r="AD48" i="1"/>
  <c r="AF49" i="1"/>
  <c r="AG49" i="1" s="1"/>
  <c r="AD49" i="1"/>
  <c r="AF50" i="1" l="1"/>
  <c r="AG50" i="1" s="1"/>
  <c r="Y50" i="1"/>
  <c r="AF47" i="1"/>
  <c r="AG47" i="1" s="1"/>
  <c r="Y47" i="1"/>
  <c r="AD50" i="1"/>
</calcChain>
</file>

<file path=xl/sharedStrings.xml><?xml version="1.0" encoding="utf-8"?>
<sst xmlns="http://schemas.openxmlformats.org/spreadsheetml/2006/main" count="40" uniqueCount="30">
  <si>
    <t>Age in Months</t>
  </si>
  <si>
    <t>Portion of 
Policy Year Premium Earned</t>
  </si>
  <si>
    <t>With Exposure Growth</t>
  </si>
  <si>
    <t>Policy Year Loss Development Pattern</t>
  </si>
  <si>
    <t>Table 1</t>
  </si>
  <si>
    <t>Policy Year Exposure Growth Pattern</t>
  </si>
  <si>
    <t>Portion of 
Policy Year 
Premium Earned</t>
  </si>
  <si>
    <t>Table 2</t>
  </si>
  <si>
    <t>Table 3</t>
  </si>
  <si>
    <t>Adjusted to Remove Exposure Growth</t>
  </si>
  <si>
    <r>
      <t xml:space="preserve">PY Percent of Ultimate 
</t>
    </r>
    <r>
      <rPr>
        <sz val="11"/>
        <color theme="5" tint="-0.499984740745262"/>
        <rFont val="Aptos Narrow"/>
        <family val="2"/>
        <scheme val="minor"/>
      </rPr>
      <t>with Exposure Growth</t>
    </r>
  </si>
  <si>
    <r>
      <t xml:space="preserve">PY Percent of Ultimate 
</t>
    </r>
    <r>
      <rPr>
        <sz val="11"/>
        <color theme="5" tint="-0.499984740745262"/>
        <rFont val="Aptos Narrow"/>
        <family val="2"/>
        <scheme val="minor"/>
      </rPr>
      <t>without Exposure Growth</t>
    </r>
  </si>
  <si>
    <t>Table 4</t>
  </si>
  <si>
    <t>Weights for Linear Interpolation</t>
  </si>
  <si>
    <r>
      <t xml:space="preserve">Interpolated PY Percent of Ultimate 
</t>
    </r>
    <r>
      <rPr>
        <sz val="11"/>
        <color theme="5" tint="-0.499984740745262"/>
        <rFont val="Aptos Narrow"/>
        <family val="2"/>
        <scheme val="minor"/>
      </rPr>
      <t>without Exposure Growth</t>
    </r>
  </si>
  <si>
    <t>Table 5</t>
  </si>
  <si>
    <t>Interpolated Values without Exposure Growth</t>
  </si>
  <si>
    <t>Adjusted to Reintroduce Exposure Growth</t>
  </si>
  <si>
    <t>Interpolated Policy Year Loss Development Pattern</t>
  </si>
  <si>
    <r>
      <t xml:space="preserve">Interpolated PY Percent of Ultimate 
</t>
    </r>
    <r>
      <rPr>
        <sz val="11"/>
        <color theme="5" tint="-0.499984740745262"/>
        <rFont val="Aptos Narrow"/>
        <family val="2"/>
        <scheme val="minor"/>
      </rPr>
      <t>with Exposure Growth</t>
    </r>
  </si>
  <si>
    <r>
      <t xml:space="preserve">Interpolated PY Age-to-Ult Factor 
</t>
    </r>
    <r>
      <rPr>
        <sz val="11"/>
        <color theme="5" tint="-0.499984740745262"/>
        <rFont val="Aptos Narrow"/>
        <family val="2"/>
        <scheme val="minor"/>
      </rPr>
      <t>with Exposure Growth</t>
    </r>
  </si>
  <si>
    <r>
      <t xml:space="preserve">PY Age-to-Ult Factor 
</t>
    </r>
    <r>
      <rPr>
        <sz val="11"/>
        <color theme="5" tint="-0.499984740745262"/>
        <rFont val="Aptos Narrow"/>
        <family val="2"/>
        <scheme val="minor"/>
      </rPr>
      <t>with Exposure Growth</t>
    </r>
  </si>
  <si>
    <r>
      <t xml:space="preserve">Interpolated PY Age-to-Ult Factor 
</t>
    </r>
    <r>
      <rPr>
        <sz val="11"/>
        <color theme="5" tint="-0.499984740745262"/>
        <rFont val="Aptos Narrow"/>
        <family val="2"/>
        <scheme val="minor"/>
      </rPr>
      <t>without Exposure Growth</t>
    </r>
  </si>
  <si>
    <t>Table 6</t>
  </si>
  <si>
    <t>Sample Application</t>
  </si>
  <si>
    <r>
      <t xml:space="preserve">Estimated Ultimate Loss for Full Policy Year 
</t>
    </r>
    <r>
      <rPr>
        <sz val="11"/>
        <color theme="5" tint="-0.499984740745262"/>
        <rFont val="Aptos Narrow"/>
        <family val="2"/>
        <scheme val="minor"/>
      </rPr>
      <t>(PY with Exposure Growth)</t>
    </r>
  </si>
  <si>
    <r>
      <t xml:space="preserve">Estimated Ultimate Loss for Partial Policy Year 
</t>
    </r>
    <r>
      <rPr>
        <sz val="11"/>
        <color theme="5" tint="-0.499984740745262"/>
        <rFont val="Aptos Narrow"/>
        <family val="2"/>
        <scheme val="minor"/>
      </rPr>
      <t>(PY without Exposure Growth)</t>
    </r>
  </si>
  <si>
    <t>Sample Loss at Age 9</t>
  </si>
  <si>
    <t>25+</t>
  </si>
  <si>
    <t>(12-Month Policies, Uniform 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</si>
</sst>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00"/>
    <numFmt numFmtId="166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right" wrapText="1"/>
    </xf>
    <xf numFmtId="0" fontId="0" fillId="0" borderId="0" xfId="0" applyAlignment="1">
      <alignment horizontal="centerContinuous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2" xfId="2" applyFont="1" applyBorder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3" xfId="2" applyFont="1" applyBorder="1" applyAlignment="1">
      <alignment horizontal="center"/>
    </xf>
    <xf numFmtId="9" fontId="0" fillId="0" borderId="4" xfId="2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wrapText="1"/>
    </xf>
    <xf numFmtId="164" fontId="0" fillId="2" borderId="0" xfId="0" applyNumberFormat="1" applyFill="1" applyAlignment="1">
      <alignment horizontal="center"/>
    </xf>
    <xf numFmtId="165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2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66" fontId="0" fillId="0" borderId="0" xfId="1" applyNumberFormat="1" applyFont="1"/>
    <xf numFmtId="0" fontId="0" fillId="0" borderId="5" xfId="0" applyBorder="1" applyAlignment="1">
      <alignment horizontal="center"/>
    </xf>
    <xf numFmtId="0" fontId="5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22</xdr:row>
      <xdr:rowOff>161925</xdr:rowOff>
    </xdr:from>
    <xdr:to>
      <xdr:col>10</xdr:col>
      <xdr:colOff>133350</xdr:colOff>
      <xdr:row>28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8FC54F-ADC0-E042-D7F6-0DF1496B4E5A}"/>
            </a:ext>
          </a:extLst>
        </xdr:cNvPr>
        <xdr:cNvSpPr txBox="1"/>
      </xdr:nvSpPr>
      <xdr:spPr>
        <a:xfrm>
          <a:off x="3333750" y="5114925"/>
          <a:ext cx="2324100" cy="11620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The age-to-ultimate</a:t>
          </a:r>
          <a:r>
            <a:rPr lang="en-US" sz="1200" baseline="0"/>
            <a:t> LDFs in this column are based on a policy year development triangle. As such, the factors inherently reflect exposure growth.</a:t>
          </a:r>
          <a:endParaRPr lang="en-US" sz="1200"/>
        </a:p>
      </xdr:txBody>
    </xdr:sp>
    <xdr:clientData/>
  </xdr:twoCellAnchor>
  <xdr:twoCellAnchor>
    <xdr:from>
      <xdr:col>8</xdr:col>
      <xdr:colOff>495300</xdr:colOff>
      <xdr:row>20</xdr:row>
      <xdr:rowOff>47625</xdr:rowOff>
    </xdr:from>
    <xdr:to>
      <xdr:col>8</xdr:col>
      <xdr:colOff>609600</xdr:colOff>
      <xdr:row>22</xdr:row>
      <xdr:rowOff>161925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6D5716E-40A5-254E-4FFE-155ECAF0AD0D}"/>
            </a:ext>
          </a:extLst>
        </xdr:cNvPr>
        <xdr:cNvCxnSpPr>
          <a:stCxn id="3" idx="0"/>
        </xdr:cNvCxnSpPr>
      </xdr:nvCxnSpPr>
      <xdr:spPr>
        <a:xfrm flipH="1" flipV="1">
          <a:off x="4381500" y="4619625"/>
          <a:ext cx="114300" cy="4953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180975</xdr:colOff>
      <xdr:row>23</xdr:row>
      <xdr:rowOff>133350</xdr:rowOff>
    </xdr:from>
    <xdr:to>
      <xdr:col>17</xdr:col>
      <xdr:colOff>47625</xdr:colOff>
      <xdr:row>30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DA2DE73-13FB-40BF-839A-ECAB7541054A}"/>
            </a:ext>
          </a:extLst>
        </xdr:cNvPr>
        <xdr:cNvSpPr txBox="1"/>
      </xdr:nvSpPr>
      <xdr:spPr>
        <a:xfrm>
          <a:off x="7124700" y="5086350"/>
          <a:ext cx="2324100" cy="13144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Linear</a:t>
          </a:r>
          <a:r>
            <a:rPr lang="en-US" sz="1200" baseline="0"/>
            <a:t> interpolation is used in this example. Other types of interpolation may be more suitable for other situations; however, the exposure adjustment would be applied similarly.</a:t>
          </a:r>
          <a:endParaRPr lang="en-US" sz="1200"/>
        </a:p>
      </xdr:txBody>
    </xdr:sp>
    <xdr:clientData/>
  </xdr:twoCellAnchor>
  <xdr:twoCellAnchor>
    <xdr:from>
      <xdr:col>17</xdr:col>
      <xdr:colOff>47625</xdr:colOff>
      <xdr:row>18</xdr:row>
      <xdr:rowOff>180975</xdr:rowOff>
    </xdr:from>
    <xdr:to>
      <xdr:col>21</xdr:col>
      <xdr:colOff>742950</xdr:colOff>
      <xdr:row>27</xdr:row>
      <xdr:rowOff>28575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88A4371-D1C2-446D-B656-986E136CF1A9}"/>
            </a:ext>
          </a:extLst>
        </xdr:cNvPr>
        <xdr:cNvCxnSpPr>
          <a:stCxn id="6" idx="3"/>
        </xdr:cNvCxnSpPr>
      </xdr:nvCxnSpPr>
      <xdr:spPr>
        <a:xfrm flipV="1">
          <a:off x="9448800" y="4181475"/>
          <a:ext cx="2333625" cy="15621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123825</xdr:colOff>
      <xdr:row>13</xdr:row>
      <xdr:rowOff>95250</xdr:rowOff>
    </xdr:from>
    <xdr:to>
      <xdr:col>37</xdr:col>
      <xdr:colOff>809625</xdr:colOff>
      <xdr:row>22</xdr:row>
      <xdr:rowOff>9526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A0EA308-8D4D-40B2-8564-5EAB4676AD3A}"/>
            </a:ext>
          </a:extLst>
        </xdr:cNvPr>
        <xdr:cNvSpPr txBox="1"/>
      </xdr:nvSpPr>
      <xdr:spPr>
        <a:xfrm>
          <a:off x="19602450" y="3333750"/>
          <a:ext cx="1724025" cy="16287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This estimate</a:t>
          </a:r>
          <a:r>
            <a:rPr lang="en-US" sz="1200" baseline="0"/>
            <a:t> corresponds with a full policy year, including any exposure related to premium that was earned after age 9.</a:t>
          </a:r>
          <a:endParaRPr lang="en-US" sz="1200"/>
        </a:p>
      </xdr:txBody>
    </xdr:sp>
    <xdr:clientData/>
  </xdr:twoCellAnchor>
  <xdr:twoCellAnchor>
    <xdr:from>
      <xdr:col>37</xdr:col>
      <xdr:colOff>914400</xdr:colOff>
      <xdr:row>13</xdr:row>
      <xdr:rowOff>95250</xdr:rowOff>
    </xdr:from>
    <xdr:to>
      <xdr:col>40</xdr:col>
      <xdr:colOff>97676</xdr:colOff>
      <xdr:row>22</xdr:row>
      <xdr:rowOff>9526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127E69-C4AB-4E54-8FAA-48AC3FF5F724}"/>
            </a:ext>
          </a:extLst>
        </xdr:cNvPr>
        <xdr:cNvSpPr txBox="1"/>
      </xdr:nvSpPr>
      <xdr:spPr>
        <a:xfrm>
          <a:off x="21431250" y="3333750"/>
          <a:ext cx="1659776" cy="16287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This estimate</a:t>
          </a:r>
          <a:r>
            <a:rPr lang="en-US" sz="1200" baseline="0"/>
            <a:t> corresponds with the first 9 months of the policy year. No ultimate losses are estimated related to premium earned after age 9.</a:t>
          </a:r>
          <a:endParaRPr lang="en-US" sz="1200"/>
        </a:p>
      </xdr:txBody>
    </xdr:sp>
    <xdr:clientData/>
  </xdr:twoCellAnchor>
  <xdr:twoCellAnchor>
    <xdr:from>
      <xdr:col>38</xdr:col>
      <xdr:colOff>648913</xdr:colOff>
      <xdr:row>10</xdr:row>
      <xdr:rowOff>9525</xdr:rowOff>
    </xdr:from>
    <xdr:to>
      <xdr:col>38</xdr:col>
      <xdr:colOff>847725</xdr:colOff>
      <xdr:row>13</xdr:row>
      <xdr:rowOff>95250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FE1B657-255A-4351-BF3E-CC24E8BEFD55}"/>
            </a:ext>
          </a:extLst>
        </xdr:cNvPr>
        <xdr:cNvCxnSpPr>
          <a:stCxn id="12" idx="0"/>
        </xdr:cNvCxnSpPr>
      </xdr:nvCxnSpPr>
      <xdr:spPr>
        <a:xfrm flipV="1">
          <a:off x="22261138" y="2676525"/>
          <a:ext cx="198812" cy="6572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738188</xdr:colOff>
      <xdr:row>10</xdr:row>
      <xdr:rowOff>38100</xdr:rowOff>
    </xdr:from>
    <xdr:to>
      <xdr:col>37</xdr:col>
      <xdr:colOff>714375</xdr:colOff>
      <xdr:row>13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726408C-F043-4202-ABB5-7EE9A674A1BF}"/>
            </a:ext>
          </a:extLst>
        </xdr:cNvPr>
        <xdr:cNvCxnSpPr>
          <a:stCxn id="11" idx="0"/>
        </xdr:cNvCxnSpPr>
      </xdr:nvCxnSpPr>
      <xdr:spPr>
        <a:xfrm flipV="1">
          <a:off x="20464463" y="2705100"/>
          <a:ext cx="766762" cy="628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29</xdr:row>
      <xdr:rowOff>142874</xdr:rowOff>
    </xdr:from>
    <xdr:to>
      <xdr:col>10</xdr:col>
      <xdr:colOff>133350</xdr:colOff>
      <xdr:row>37</xdr:row>
      <xdr:rowOff>38099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C4FB02C-B525-4D07-8676-175C1E53CDFC}"/>
            </a:ext>
          </a:extLst>
        </xdr:cNvPr>
        <xdr:cNvSpPr txBox="1"/>
      </xdr:nvSpPr>
      <xdr:spPr>
        <a:xfrm>
          <a:off x="3333750" y="6429374"/>
          <a:ext cx="2324100" cy="14192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This pattern assumes</a:t>
          </a:r>
          <a:r>
            <a:rPr lang="en-US" sz="1200" baseline="0"/>
            <a:t>: 1) 12-month policies and 2) premium is written uniformly throughout the year.</a:t>
          </a:r>
        </a:p>
        <a:p>
          <a:pPr algn="ctr"/>
          <a:endParaRPr lang="en-US" sz="1200" baseline="0"/>
        </a:p>
        <a:p>
          <a:pPr algn="ctr"/>
          <a:r>
            <a:rPr lang="en-US" sz="1200" baseline="0"/>
            <a:t>Other patterns can be used as needed.</a:t>
          </a:r>
        </a:p>
      </xdr:txBody>
    </xdr:sp>
    <xdr:clientData/>
  </xdr:twoCellAnchor>
  <xdr:twoCellAnchor>
    <xdr:from>
      <xdr:col>3</xdr:col>
      <xdr:colOff>1304925</xdr:colOff>
      <xdr:row>29</xdr:row>
      <xdr:rowOff>19050</xdr:rowOff>
    </xdr:from>
    <xdr:to>
      <xdr:col>7</xdr:col>
      <xdr:colOff>57150</xdr:colOff>
      <xdr:row>33</xdr:row>
      <xdr:rowOff>90487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4876DCA-5D71-4C8E-8417-EBDFD4EC6717}"/>
            </a:ext>
          </a:extLst>
        </xdr:cNvPr>
        <xdr:cNvCxnSpPr>
          <a:stCxn id="20" idx="1"/>
        </xdr:cNvCxnSpPr>
      </xdr:nvCxnSpPr>
      <xdr:spPr>
        <a:xfrm flipH="1" flipV="1">
          <a:off x="2447925" y="6305550"/>
          <a:ext cx="885825" cy="83343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5C51-79F9-4361-A3F0-FE3613912616}">
  <dimension ref="A1:AO52"/>
  <sheetViews>
    <sheetView showGridLines="0" tabSelected="1" workbookViewId="0"/>
  </sheetViews>
  <sheetFormatPr defaultRowHeight="15" x14ac:dyDescent="0.25"/>
  <cols>
    <col min="1" max="1" width="1.85546875" customWidth="1"/>
    <col min="2" max="2" width="4.140625" customWidth="1"/>
    <col min="3" max="3" width="11.140625" customWidth="1"/>
    <col min="4" max="4" width="19.85546875" customWidth="1"/>
    <col min="5" max="5" width="5.140625" customWidth="1"/>
    <col min="6" max="6" width="1.85546875" customWidth="1"/>
    <col min="7" max="7" width="5.140625" customWidth="1"/>
    <col min="9" max="10" width="12.28515625" customWidth="1"/>
    <col min="11" max="11" width="5.140625" customWidth="1"/>
    <col min="12" max="12" width="1.85546875" customWidth="1"/>
    <col min="13" max="13" width="5.140625" customWidth="1"/>
    <col min="15" max="17" width="12.28515625" customWidth="1"/>
    <col min="18" max="18" width="5.140625" customWidth="1"/>
    <col min="19" max="19" width="1.85546875" customWidth="1"/>
    <col min="20" max="20" width="5.140625" customWidth="1"/>
    <col min="21" max="21" width="12.42578125" customWidth="1"/>
    <col min="22" max="25" width="12.28515625" customWidth="1"/>
    <col min="26" max="26" width="5.140625" customWidth="1"/>
    <col min="27" max="27" width="1.85546875" customWidth="1"/>
    <col min="28" max="28" width="5.140625" customWidth="1"/>
    <col min="30" max="33" width="12.28515625" customWidth="1"/>
    <col min="34" max="34" width="5.140625" customWidth="1"/>
    <col min="35" max="35" width="1.85546875" customWidth="1"/>
    <col min="36" max="36" width="3.7109375" customWidth="1"/>
    <col min="37" max="37" width="11.85546875" customWidth="1"/>
    <col min="38" max="39" width="16.42578125" customWidth="1"/>
    <col min="40" max="40" width="4.28515625" customWidth="1"/>
    <col min="41" max="41" width="1.85546875" customWidth="1"/>
  </cols>
  <sheetData>
    <row r="1" spans="1:41" x14ac:dyDescent="0.25">
      <c r="A1" s="24"/>
    </row>
    <row r="3" spans="1:4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</row>
    <row r="4" spans="1:41" x14ac:dyDescent="0.25">
      <c r="A4" s="20"/>
      <c r="F4" s="20"/>
      <c r="L4" s="20"/>
      <c r="S4" s="20"/>
      <c r="AA4" s="20"/>
      <c r="AI4" s="20"/>
      <c r="AO4" s="20"/>
    </row>
    <row r="5" spans="1:41" x14ac:dyDescent="0.25">
      <c r="A5" s="20"/>
      <c r="C5" s="3" t="s">
        <v>4</v>
      </c>
      <c r="F5" s="20"/>
      <c r="H5" s="3" t="s">
        <v>7</v>
      </c>
      <c r="L5" s="20"/>
      <c r="N5" s="3" t="s">
        <v>8</v>
      </c>
      <c r="S5" s="20"/>
      <c r="U5" s="3" t="s">
        <v>12</v>
      </c>
      <c r="AA5" s="20"/>
      <c r="AC5" s="3" t="s">
        <v>15</v>
      </c>
      <c r="AI5" s="20"/>
      <c r="AK5" s="3" t="s">
        <v>23</v>
      </c>
      <c r="AO5" s="20"/>
    </row>
    <row r="6" spans="1:41" x14ac:dyDescent="0.25">
      <c r="A6" s="20"/>
      <c r="C6" s="4" t="s">
        <v>5</v>
      </c>
      <c r="F6" s="20"/>
      <c r="H6" s="4" t="s">
        <v>3</v>
      </c>
      <c r="I6" s="2"/>
      <c r="J6" s="2"/>
      <c r="L6" s="20"/>
      <c r="N6" s="4" t="s">
        <v>3</v>
      </c>
      <c r="S6" s="20"/>
      <c r="U6" s="4" t="s">
        <v>3</v>
      </c>
      <c r="AA6" s="20"/>
      <c r="AC6" s="4" t="s">
        <v>18</v>
      </c>
      <c r="AI6" s="20"/>
      <c r="AK6" s="4" t="s">
        <v>24</v>
      </c>
      <c r="AO6" s="20"/>
    </row>
    <row r="7" spans="1:41" x14ac:dyDescent="0.25">
      <c r="A7" s="20"/>
      <c r="C7" s="4" t="s">
        <v>29</v>
      </c>
      <c r="F7" s="20"/>
      <c r="H7" s="4" t="s">
        <v>2</v>
      </c>
      <c r="I7" s="2"/>
      <c r="J7" s="2"/>
      <c r="L7" s="20"/>
      <c r="N7" s="4" t="s">
        <v>9</v>
      </c>
      <c r="S7" s="20"/>
      <c r="U7" s="4" t="s">
        <v>16</v>
      </c>
      <c r="AA7" s="20"/>
      <c r="AC7" s="4" t="s">
        <v>17</v>
      </c>
      <c r="AI7" s="20"/>
      <c r="AO7" s="20"/>
    </row>
    <row r="8" spans="1:41" ht="105" x14ac:dyDescent="0.25">
      <c r="A8" s="20"/>
      <c r="C8" s="15" t="s">
        <v>0</v>
      </c>
      <c r="D8" s="15" t="s">
        <v>6</v>
      </c>
      <c r="E8" s="6"/>
      <c r="F8" s="20"/>
      <c r="G8" s="6"/>
      <c r="H8" s="15" t="s">
        <v>0</v>
      </c>
      <c r="I8" s="15" t="s">
        <v>21</v>
      </c>
      <c r="J8" s="15" t="s">
        <v>10</v>
      </c>
      <c r="K8" s="6"/>
      <c r="L8" s="20"/>
      <c r="M8" s="6"/>
      <c r="N8" s="15" t="s">
        <v>0</v>
      </c>
      <c r="O8" s="15" t="s">
        <v>10</v>
      </c>
      <c r="P8" s="15" t="s">
        <v>1</v>
      </c>
      <c r="Q8" s="15" t="s">
        <v>11</v>
      </c>
      <c r="R8" s="6"/>
      <c r="S8" s="20"/>
      <c r="T8" s="6"/>
      <c r="U8" s="15" t="s">
        <v>0</v>
      </c>
      <c r="V8" s="15" t="s">
        <v>11</v>
      </c>
      <c r="W8" s="15" t="s">
        <v>13</v>
      </c>
      <c r="X8" s="15" t="s">
        <v>14</v>
      </c>
      <c r="Y8" s="15" t="s">
        <v>22</v>
      </c>
      <c r="Z8" s="5"/>
      <c r="AA8" s="20"/>
      <c r="AB8" s="5"/>
      <c r="AC8" s="15" t="s">
        <v>0</v>
      </c>
      <c r="AD8" s="15" t="s">
        <v>14</v>
      </c>
      <c r="AE8" s="15" t="s">
        <v>1</v>
      </c>
      <c r="AF8" s="15" t="s">
        <v>19</v>
      </c>
      <c r="AG8" s="15" t="s">
        <v>20</v>
      </c>
      <c r="AH8" s="5"/>
      <c r="AI8" s="20"/>
      <c r="AJ8" s="5"/>
      <c r="AK8" s="15" t="s">
        <v>27</v>
      </c>
      <c r="AL8" s="15" t="s">
        <v>25</v>
      </c>
      <c r="AM8" s="15" t="s">
        <v>26</v>
      </c>
      <c r="AN8" s="5"/>
      <c r="AO8" s="20"/>
    </row>
    <row r="9" spans="1:41" x14ac:dyDescent="0.25">
      <c r="A9" s="20"/>
      <c r="C9" s="5"/>
      <c r="D9" s="5"/>
      <c r="F9" s="21"/>
      <c r="H9" s="5"/>
      <c r="L9" s="21"/>
      <c r="N9" s="5"/>
      <c r="S9" s="21"/>
      <c r="U9" s="1"/>
      <c r="AA9" s="21"/>
      <c r="AC9" s="1"/>
      <c r="AI9" s="21"/>
      <c r="AN9" s="5"/>
      <c r="AO9" s="20"/>
    </row>
    <row r="10" spans="1:41" x14ac:dyDescent="0.25">
      <c r="A10" s="20"/>
      <c r="C10" s="6">
        <v>0</v>
      </c>
      <c r="D10" s="19">
        <f t="shared" ref="D10:D34" si="0">(0.5*MIN(C10,12)^2+12*MAX(C10-12,0)-0.5*MAX(C10-12,0)^2)/144</f>
        <v>0</v>
      </c>
      <c r="E10" s="6"/>
      <c r="F10" s="20"/>
      <c r="G10" s="6"/>
      <c r="H10" s="6">
        <v>0</v>
      </c>
      <c r="I10" s="7"/>
      <c r="J10" s="16">
        <v>0</v>
      </c>
      <c r="K10" s="6"/>
      <c r="L10" s="20"/>
      <c r="M10" s="6"/>
      <c r="N10" s="6">
        <v>0</v>
      </c>
      <c r="O10" s="16">
        <f>J10</f>
        <v>0</v>
      </c>
      <c r="P10" s="8">
        <f t="shared" ref="P10:P20" si="1">IF(H10&gt;24,1,VLOOKUP(H10,ExposureTable_PY,2,FALSE))</f>
        <v>0</v>
      </c>
      <c r="Q10" s="16">
        <v>0</v>
      </c>
      <c r="R10" s="6"/>
      <c r="S10" s="20"/>
      <c r="T10" s="6"/>
      <c r="U10" s="6">
        <v>0</v>
      </c>
      <c r="V10" s="8">
        <v>0</v>
      </c>
      <c r="W10" s="14"/>
      <c r="X10" s="16">
        <v>0</v>
      </c>
      <c r="Y10" s="16"/>
      <c r="Z10" s="8"/>
      <c r="AA10" s="20"/>
      <c r="AB10" s="8"/>
      <c r="AC10" s="6">
        <v>0</v>
      </c>
      <c r="AD10" s="16">
        <f>X10</f>
        <v>0</v>
      </c>
      <c r="AE10" s="8">
        <f t="shared" ref="AE10:AE18" si="2">VLOOKUP(U10,ExposureTable_PY,2,FALSE)</f>
        <v>0</v>
      </c>
      <c r="AF10" s="16">
        <f>X10*AE10</f>
        <v>0</v>
      </c>
      <c r="AG10" s="14"/>
      <c r="AH10" s="14"/>
      <c r="AI10" s="20"/>
      <c r="AJ10" s="8"/>
      <c r="AK10" s="22">
        <v>1000</v>
      </c>
      <c r="AL10" s="22">
        <f>AK10*AG13</f>
        <v>16592.592592592595</v>
      </c>
      <c r="AM10" s="22">
        <f>AK10*Y13</f>
        <v>4666.666666666667</v>
      </c>
      <c r="AN10" s="5"/>
      <c r="AO10" s="20"/>
    </row>
    <row r="11" spans="1:41" x14ac:dyDescent="0.25">
      <c r="A11" s="20"/>
      <c r="C11" s="6">
        <f>C10+1</f>
        <v>1</v>
      </c>
      <c r="D11" s="19">
        <f t="shared" si="0"/>
        <v>3.472222222222222E-3</v>
      </c>
      <c r="E11" s="6"/>
      <c r="F11" s="20"/>
      <c r="G11" s="6"/>
      <c r="H11" s="23">
        <f>H10+12</f>
        <v>12</v>
      </c>
      <c r="I11" s="17">
        <v>7</v>
      </c>
      <c r="J11" s="18">
        <f>1/I11</f>
        <v>0.14285714285714285</v>
      </c>
      <c r="K11" s="6"/>
      <c r="L11" s="20"/>
      <c r="M11" s="6"/>
      <c r="N11" s="23">
        <f>N10+12</f>
        <v>12</v>
      </c>
      <c r="O11" s="18">
        <f t="shared" ref="O11:O20" si="3">J11</f>
        <v>0.14285714285714285</v>
      </c>
      <c r="P11" s="18">
        <f t="shared" si="1"/>
        <v>0.5</v>
      </c>
      <c r="Q11" s="18">
        <f>J11/P11</f>
        <v>0.2857142857142857</v>
      </c>
      <c r="R11" s="6"/>
      <c r="S11" s="20"/>
      <c r="T11" s="6"/>
      <c r="U11" s="6">
        <f>U10+3</f>
        <v>3</v>
      </c>
      <c r="V11" s="8"/>
      <c r="W11" s="10">
        <f>(U11-U10)/(U14-U10)</f>
        <v>0.25</v>
      </c>
      <c r="X11" s="8">
        <f>W11*V14+(1-W11)*V10</f>
        <v>7.1428571428571425E-2</v>
      </c>
      <c r="Y11" s="9">
        <f>1/X11</f>
        <v>14</v>
      </c>
      <c r="Z11" s="11"/>
      <c r="AA11" s="20"/>
      <c r="AB11" s="11"/>
      <c r="AC11" s="6">
        <f>AC10+3</f>
        <v>3</v>
      </c>
      <c r="AD11" s="8">
        <f t="shared" ref="AD11:AD50" si="4">X11</f>
        <v>7.1428571428571425E-2</v>
      </c>
      <c r="AE11" s="8">
        <f t="shared" si="2"/>
        <v>3.125E-2</v>
      </c>
      <c r="AF11" s="8">
        <f t="shared" ref="AF11:AF50" si="5">X11*AE11</f>
        <v>2.232142857142857E-3</v>
      </c>
      <c r="AG11" s="9">
        <f>1/AF11</f>
        <v>448</v>
      </c>
      <c r="AH11" s="9"/>
      <c r="AI11" s="20"/>
      <c r="AJ11" s="11"/>
      <c r="AN11" s="5"/>
      <c r="AO11" s="20"/>
    </row>
    <row r="12" spans="1:41" x14ac:dyDescent="0.25">
      <c r="A12" s="20"/>
      <c r="C12" s="6">
        <f t="shared" ref="C12:C34" si="6">C11+1</f>
        <v>2</v>
      </c>
      <c r="D12" s="19">
        <f t="shared" si="0"/>
        <v>1.3888888888888888E-2</v>
      </c>
      <c r="E12" s="6"/>
      <c r="F12" s="20"/>
      <c r="G12" s="6"/>
      <c r="H12" s="6">
        <f t="shared" ref="H12:H20" si="7">H11+12</f>
        <v>24</v>
      </c>
      <c r="I12" s="9">
        <v>1.9</v>
      </c>
      <c r="J12" s="8">
        <f t="shared" ref="J12:J20" si="8">1/I12</f>
        <v>0.52631578947368418</v>
      </c>
      <c r="K12" s="6"/>
      <c r="L12" s="20"/>
      <c r="M12" s="6"/>
      <c r="N12" s="6">
        <f t="shared" ref="N12:N20" si="9">N11+12</f>
        <v>24</v>
      </c>
      <c r="O12" s="8">
        <f t="shared" si="3"/>
        <v>0.52631578947368418</v>
      </c>
      <c r="P12" s="8">
        <f t="shared" si="1"/>
        <v>1</v>
      </c>
      <c r="Q12" s="8">
        <f t="shared" ref="Q12:Q20" si="10">J12/P12</f>
        <v>0.52631578947368418</v>
      </c>
      <c r="R12" s="6"/>
      <c r="S12" s="20"/>
      <c r="T12" s="6"/>
      <c r="U12" s="6">
        <f t="shared" ref="U12:U50" si="11">U11+3</f>
        <v>6</v>
      </c>
      <c r="V12" s="8"/>
      <c r="W12" s="12">
        <f>(U12-U10)/(U14-U10)</f>
        <v>0.5</v>
      </c>
      <c r="X12" s="8">
        <f>W12*V14+(1-W12)*V10</f>
        <v>0.14285714285714285</v>
      </c>
      <c r="Y12" s="9">
        <f t="shared" ref="Y12:Y50" si="12">1/X12</f>
        <v>7</v>
      </c>
      <c r="Z12" s="11"/>
      <c r="AA12" s="20"/>
      <c r="AB12" s="11"/>
      <c r="AC12" s="6">
        <f t="shared" ref="AC12:AC50" si="13">AC11+3</f>
        <v>6</v>
      </c>
      <c r="AD12" s="8">
        <f t="shared" si="4"/>
        <v>0.14285714285714285</v>
      </c>
      <c r="AE12" s="8">
        <f t="shared" si="2"/>
        <v>0.125</v>
      </c>
      <c r="AF12" s="8">
        <f t="shared" si="5"/>
        <v>1.7857142857142856E-2</v>
      </c>
      <c r="AG12" s="9">
        <f t="shared" ref="AG12:AG50" si="14">1/AF12</f>
        <v>56</v>
      </c>
      <c r="AH12" s="9"/>
      <c r="AI12" s="20"/>
      <c r="AJ12" s="20"/>
      <c r="AK12" s="20"/>
      <c r="AL12" s="20"/>
      <c r="AM12" s="20"/>
      <c r="AN12" s="20"/>
      <c r="AO12" s="20"/>
    </row>
    <row r="13" spans="1:41" x14ac:dyDescent="0.25">
      <c r="A13" s="20"/>
      <c r="C13" s="6">
        <f t="shared" si="6"/>
        <v>3</v>
      </c>
      <c r="D13" s="19">
        <f t="shared" si="0"/>
        <v>3.125E-2</v>
      </c>
      <c r="E13" s="6"/>
      <c r="F13" s="20"/>
      <c r="G13" s="6"/>
      <c r="H13" s="6">
        <f t="shared" si="7"/>
        <v>36</v>
      </c>
      <c r="I13" s="9">
        <v>1.5</v>
      </c>
      <c r="J13" s="8">
        <f t="shared" si="8"/>
        <v>0.66666666666666663</v>
      </c>
      <c r="K13" s="6"/>
      <c r="L13" s="20"/>
      <c r="M13" s="6"/>
      <c r="N13" s="6">
        <f t="shared" si="9"/>
        <v>36</v>
      </c>
      <c r="O13" s="8">
        <f t="shared" si="3"/>
        <v>0.66666666666666663</v>
      </c>
      <c r="P13" s="8">
        <f t="shared" si="1"/>
        <v>1</v>
      </c>
      <c r="Q13" s="8">
        <f t="shared" si="10"/>
        <v>0.66666666666666663</v>
      </c>
      <c r="R13" s="6"/>
      <c r="S13" s="20"/>
      <c r="T13" s="6"/>
      <c r="U13" s="6">
        <f t="shared" si="11"/>
        <v>9</v>
      </c>
      <c r="V13" s="8"/>
      <c r="W13" s="12">
        <f>(U13-U10)/(U14-U10)</f>
        <v>0.75</v>
      </c>
      <c r="X13" s="8">
        <f>W13*V14+(1-W13)*V10</f>
        <v>0.21428571428571427</v>
      </c>
      <c r="Y13" s="9">
        <f t="shared" si="12"/>
        <v>4.666666666666667</v>
      </c>
      <c r="Z13" s="11"/>
      <c r="AA13" s="20"/>
      <c r="AB13" s="11"/>
      <c r="AC13" s="6">
        <f t="shared" si="13"/>
        <v>9</v>
      </c>
      <c r="AD13" s="8">
        <f t="shared" si="4"/>
        <v>0.21428571428571427</v>
      </c>
      <c r="AE13" s="8">
        <f t="shared" si="2"/>
        <v>0.28125</v>
      </c>
      <c r="AF13" s="8">
        <f t="shared" si="5"/>
        <v>6.0267857142857137E-2</v>
      </c>
      <c r="AG13" s="9">
        <f t="shared" si="14"/>
        <v>16.592592592592595</v>
      </c>
      <c r="AH13" s="9"/>
      <c r="AI13" s="20"/>
      <c r="AJ13" s="11"/>
      <c r="AN13" s="5"/>
      <c r="AO13" s="5"/>
    </row>
    <row r="14" spans="1:41" x14ac:dyDescent="0.25">
      <c r="A14" s="20"/>
      <c r="C14" s="6">
        <f t="shared" si="6"/>
        <v>4</v>
      </c>
      <c r="D14" s="19">
        <f t="shared" si="0"/>
        <v>5.5555555555555552E-2</v>
      </c>
      <c r="E14" s="6"/>
      <c r="F14" s="20"/>
      <c r="G14" s="6"/>
      <c r="H14" s="6">
        <f t="shared" si="7"/>
        <v>48</v>
      </c>
      <c r="I14" s="9">
        <v>1.25</v>
      </c>
      <c r="J14" s="8">
        <f t="shared" si="8"/>
        <v>0.8</v>
      </c>
      <c r="K14" s="6"/>
      <c r="L14" s="20"/>
      <c r="M14" s="6"/>
      <c r="N14" s="6">
        <f t="shared" si="9"/>
        <v>48</v>
      </c>
      <c r="O14" s="8">
        <f t="shared" si="3"/>
        <v>0.8</v>
      </c>
      <c r="P14" s="8">
        <f t="shared" si="1"/>
        <v>1</v>
      </c>
      <c r="Q14" s="8">
        <f t="shared" si="10"/>
        <v>0.8</v>
      </c>
      <c r="R14" s="6"/>
      <c r="S14" s="20"/>
      <c r="T14" s="6"/>
      <c r="U14" s="6">
        <f t="shared" si="11"/>
        <v>12</v>
      </c>
      <c r="V14" s="8">
        <f>VLOOKUP(U14,ATU_Table,4,FALSE)</f>
        <v>0.2857142857142857</v>
      </c>
      <c r="W14" s="13">
        <f>(U14-U10)/(U14-U10)</f>
        <v>1</v>
      </c>
      <c r="X14" s="8">
        <f>W14*V14+(1-W14)*V10</f>
        <v>0.2857142857142857</v>
      </c>
      <c r="Y14" s="9">
        <f t="shared" si="12"/>
        <v>3.5</v>
      </c>
      <c r="Z14" s="11"/>
      <c r="AA14" s="20"/>
      <c r="AB14" s="11"/>
      <c r="AC14" s="6">
        <f t="shared" si="13"/>
        <v>12</v>
      </c>
      <c r="AD14" s="8">
        <f t="shared" si="4"/>
        <v>0.2857142857142857</v>
      </c>
      <c r="AE14" s="8">
        <f t="shared" si="2"/>
        <v>0.5</v>
      </c>
      <c r="AF14" s="8">
        <f t="shared" si="5"/>
        <v>0.14285714285714285</v>
      </c>
      <c r="AG14" s="9">
        <f t="shared" si="14"/>
        <v>7</v>
      </c>
      <c r="AH14" s="9"/>
      <c r="AI14" s="20"/>
      <c r="AJ14" s="11"/>
      <c r="AN14" s="5"/>
      <c r="AO14" s="5"/>
    </row>
    <row r="15" spans="1:41" x14ac:dyDescent="0.25">
      <c r="A15" s="20"/>
      <c r="C15" s="6">
        <f t="shared" si="6"/>
        <v>5</v>
      </c>
      <c r="D15" s="19">
        <f t="shared" si="0"/>
        <v>8.6805555555555552E-2</v>
      </c>
      <c r="E15" s="6"/>
      <c r="F15" s="20"/>
      <c r="G15" s="6"/>
      <c r="H15" s="6">
        <f t="shared" si="7"/>
        <v>60</v>
      </c>
      <c r="I15" s="9">
        <v>1.1000000000000001</v>
      </c>
      <c r="J15" s="8">
        <f t="shared" si="8"/>
        <v>0.90909090909090906</v>
      </c>
      <c r="K15" s="6"/>
      <c r="L15" s="20"/>
      <c r="M15" s="6"/>
      <c r="N15" s="6">
        <f t="shared" si="9"/>
        <v>60</v>
      </c>
      <c r="O15" s="8">
        <f t="shared" si="3"/>
        <v>0.90909090909090906</v>
      </c>
      <c r="P15" s="8">
        <f t="shared" si="1"/>
        <v>1</v>
      </c>
      <c r="Q15" s="8">
        <f t="shared" si="10"/>
        <v>0.90909090909090906</v>
      </c>
      <c r="R15" s="6"/>
      <c r="S15" s="20"/>
      <c r="T15" s="6"/>
      <c r="U15" s="6">
        <f t="shared" si="11"/>
        <v>15</v>
      </c>
      <c r="V15" s="8"/>
      <c r="W15" s="10">
        <f>(U15-U14)/(U18-U14)</f>
        <v>0.25</v>
      </c>
      <c r="X15" s="8">
        <f>W15*V18+(1-W15)*V14</f>
        <v>0.34586466165413532</v>
      </c>
      <c r="Y15" s="9">
        <f t="shared" si="12"/>
        <v>2.8913043478260869</v>
      </c>
      <c r="Z15" s="11"/>
      <c r="AA15" s="20"/>
      <c r="AB15" s="11"/>
      <c r="AC15" s="6">
        <f t="shared" si="13"/>
        <v>15</v>
      </c>
      <c r="AD15" s="8">
        <f t="shared" si="4"/>
        <v>0.34586466165413532</v>
      </c>
      <c r="AE15" s="8">
        <f t="shared" si="2"/>
        <v>0.71875</v>
      </c>
      <c r="AF15" s="8">
        <f t="shared" si="5"/>
        <v>0.24859022556390975</v>
      </c>
      <c r="AG15" s="9">
        <f t="shared" si="14"/>
        <v>4.0226843100189038</v>
      </c>
      <c r="AH15" s="9"/>
      <c r="AI15" s="20"/>
      <c r="AJ15" s="11"/>
      <c r="AN15" s="5"/>
      <c r="AO15" s="5"/>
    </row>
    <row r="16" spans="1:41" x14ac:dyDescent="0.25">
      <c r="A16" s="20"/>
      <c r="C16" s="6">
        <f t="shared" si="6"/>
        <v>6</v>
      </c>
      <c r="D16" s="19">
        <f t="shared" si="0"/>
        <v>0.125</v>
      </c>
      <c r="E16" s="6"/>
      <c r="F16" s="20"/>
      <c r="G16" s="6"/>
      <c r="H16" s="6">
        <f t="shared" si="7"/>
        <v>72</v>
      </c>
      <c r="I16" s="9">
        <v>1.05</v>
      </c>
      <c r="J16" s="8">
        <f t="shared" si="8"/>
        <v>0.95238095238095233</v>
      </c>
      <c r="K16" s="6"/>
      <c r="L16" s="20"/>
      <c r="M16" s="6"/>
      <c r="N16" s="6">
        <f t="shared" si="9"/>
        <v>72</v>
      </c>
      <c r="O16" s="8">
        <f t="shared" si="3"/>
        <v>0.95238095238095233</v>
      </c>
      <c r="P16" s="8">
        <f t="shared" si="1"/>
        <v>1</v>
      </c>
      <c r="Q16" s="8">
        <f t="shared" si="10"/>
        <v>0.95238095238095233</v>
      </c>
      <c r="R16" s="6"/>
      <c r="S16" s="20"/>
      <c r="T16" s="6"/>
      <c r="U16" s="6">
        <f t="shared" si="11"/>
        <v>18</v>
      </c>
      <c r="V16" s="8"/>
      <c r="W16" s="12">
        <f>(U16-U14)/(U18-U14)</f>
        <v>0.5</v>
      </c>
      <c r="X16" s="8">
        <f>W16*V18+(1-W16)*V14</f>
        <v>0.40601503759398494</v>
      </c>
      <c r="Y16" s="9">
        <f t="shared" si="12"/>
        <v>2.4629629629629632</v>
      </c>
      <c r="Z16" s="11"/>
      <c r="AA16" s="20"/>
      <c r="AB16" s="11"/>
      <c r="AC16" s="6">
        <f t="shared" si="13"/>
        <v>18</v>
      </c>
      <c r="AD16" s="8">
        <f t="shared" si="4"/>
        <v>0.40601503759398494</v>
      </c>
      <c r="AE16" s="8">
        <f t="shared" si="2"/>
        <v>0.875</v>
      </c>
      <c r="AF16" s="8">
        <f t="shared" si="5"/>
        <v>0.35526315789473684</v>
      </c>
      <c r="AG16" s="9">
        <f t="shared" si="14"/>
        <v>2.8148148148148149</v>
      </c>
      <c r="AH16" s="9"/>
      <c r="AI16" s="20"/>
      <c r="AJ16" s="11"/>
      <c r="AN16" s="5"/>
      <c r="AO16" s="5"/>
    </row>
    <row r="17" spans="1:41" x14ac:dyDescent="0.25">
      <c r="A17" s="20"/>
      <c r="C17" s="6">
        <f t="shared" si="6"/>
        <v>7</v>
      </c>
      <c r="D17" s="19">
        <f t="shared" si="0"/>
        <v>0.1701388888888889</v>
      </c>
      <c r="E17" s="6"/>
      <c r="F17" s="20"/>
      <c r="G17" s="6"/>
      <c r="H17" s="6">
        <f t="shared" si="7"/>
        <v>84</v>
      </c>
      <c r="I17" s="9">
        <v>1.02</v>
      </c>
      <c r="J17" s="8">
        <f t="shared" si="8"/>
        <v>0.98039215686274506</v>
      </c>
      <c r="K17" s="6"/>
      <c r="L17" s="20"/>
      <c r="M17" s="6"/>
      <c r="N17" s="6">
        <f t="shared" si="9"/>
        <v>84</v>
      </c>
      <c r="O17" s="8">
        <f t="shared" si="3"/>
        <v>0.98039215686274506</v>
      </c>
      <c r="P17" s="8">
        <f t="shared" si="1"/>
        <v>1</v>
      </c>
      <c r="Q17" s="8">
        <f t="shared" si="10"/>
        <v>0.98039215686274506</v>
      </c>
      <c r="R17" s="6"/>
      <c r="S17" s="20"/>
      <c r="T17" s="6"/>
      <c r="U17" s="6">
        <f t="shared" si="11"/>
        <v>21</v>
      </c>
      <c r="V17" s="8"/>
      <c r="W17" s="12">
        <f>(U17-U14)/(U18-U14)</f>
        <v>0.75</v>
      </c>
      <c r="X17" s="8">
        <f>W17*V18+(1-W17)*V14</f>
        <v>0.46616541353383456</v>
      </c>
      <c r="Y17" s="9">
        <f t="shared" si="12"/>
        <v>2.145161290322581</v>
      </c>
      <c r="Z17" s="11"/>
      <c r="AA17" s="20"/>
      <c r="AB17" s="11"/>
      <c r="AC17" s="6">
        <f t="shared" si="13"/>
        <v>21</v>
      </c>
      <c r="AD17" s="8">
        <f t="shared" si="4"/>
        <v>0.46616541353383456</v>
      </c>
      <c r="AE17" s="8">
        <f t="shared" si="2"/>
        <v>0.96875</v>
      </c>
      <c r="AF17" s="8">
        <f t="shared" si="5"/>
        <v>0.45159774436090222</v>
      </c>
      <c r="AG17" s="9">
        <f t="shared" si="14"/>
        <v>2.2143600416233093</v>
      </c>
      <c r="AH17" s="9"/>
      <c r="AI17" s="20"/>
      <c r="AJ17" s="11"/>
      <c r="AN17" s="5"/>
      <c r="AO17" s="5"/>
    </row>
    <row r="18" spans="1:41" x14ac:dyDescent="0.25">
      <c r="A18" s="20"/>
      <c r="C18" s="6">
        <f t="shared" si="6"/>
        <v>8</v>
      </c>
      <c r="D18" s="19">
        <f t="shared" si="0"/>
        <v>0.22222222222222221</v>
      </c>
      <c r="E18" s="6"/>
      <c r="F18" s="20"/>
      <c r="G18" s="6"/>
      <c r="H18" s="6">
        <f t="shared" si="7"/>
        <v>96</v>
      </c>
      <c r="I18" s="9">
        <v>1.01</v>
      </c>
      <c r="J18" s="8">
        <f t="shared" si="8"/>
        <v>0.99009900990099009</v>
      </c>
      <c r="K18" s="6"/>
      <c r="L18" s="20"/>
      <c r="M18" s="6"/>
      <c r="N18" s="6">
        <f t="shared" si="9"/>
        <v>96</v>
      </c>
      <c r="O18" s="8">
        <f t="shared" si="3"/>
        <v>0.99009900990099009</v>
      </c>
      <c r="P18" s="8">
        <f t="shared" si="1"/>
        <v>1</v>
      </c>
      <c r="Q18" s="8">
        <f t="shared" si="10"/>
        <v>0.99009900990099009</v>
      </c>
      <c r="R18" s="6"/>
      <c r="S18" s="20"/>
      <c r="T18" s="6"/>
      <c r="U18" s="23">
        <f t="shared" si="11"/>
        <v>24</v>
      </c>
      <c r="V18" s="18">
        <f>VLOOKUP(U18,ATU_Table,4,FALSE)</f>
        <v>0.52631578947368418</v>
      </c>
      <c r="W18" s="13">
        <f>(U18-U14)/(U18-U14)</f>
        <v>1</v>
      </c>
      <c r="X18" s="18">
        <f>W18*V18+(1-W18)*V14</f>
        <v>0.52631578947368418</v>
      </c>
      <c r="Y18" s="17">
        <f t="shared" si="12"/>
        <v>1.9000000000000001</v>
      </c>
      <c r="Z18" s="11"/>
      <c r="AA18" s="20"/>
      <c r="AB18" s="11"/>
      <c r="AC18" s="23">
        <f t="shared" si="13"/>
        <v>24</v>
      </c>
      <c r="AD18" s="18">
        <f t="shared" si="4"/>
        <v>0.52631578947368418</v>
      </c>
      <c r="AE18" s="18">
        <f t="shared" si="2"/>
        <v>1</v>
      </c>
      <c r="AF18" s="18">
        <f t="shared" si="5"/>
        <v>0.52631578947368418</v>
      </c>
      <c r="AG18" s="17">
        <f t="shared" si="14"/>
        <v>1.9000000000000001</v>
      </c>
      <c r="AH18" s="9"/>
      <c r="AI18" s="20"/>
      <c r="AJ18" s="11"/>
      <c r="AN18" s="5"/>
      <c r="AO18" s="5"/>
    </row>
    <row r="19" spans="1:41" x14ac:dyDescent="0.25">
      <c r="A19" s="20"/>
      <c r="C19" s="6">
        <f t="shared" si="6"/>
        <v>9</v>
      </c>
      <c r="D19" s="19">
        <f t="shared" si="0"/>
        <v>0.28125</v>
      </c>
      <c r="E19" s="6"/>
      <c r="F19" s="20"/>
      <c r="G19" s="6"/>
      <c r="H19" s="6">
        <f t="shared" si="7"/>
        <v>108</v>
      </c>
      <c r="I19" s="9">
        <v>1.0049999999999999</v>
      </c>
      <c r="J19" s="8">
        <f t="shared" si="8"/>
        <v>0.99502487562189068</v>
      </c>
      <c r="K19" s="6"/>
      <c r="L19" s="20"/>
      <c r="M19" s="6"/>
      <c r="N19" s="6">
        <f t="shared" si="9"/>
        <v>108</v>
      </c>
      <c r="O19" s="8">
        <f t="shared" si="3"/>
        <v>0.99502487562189068</v>
      </c>
      <c r="P19" s="8">
        <f t="shared" si="1"/>
        <v>1</v>
      </c>
      <c r="Q19" s="8">
        <f t="shared" si="10"/>
        <v>0.99502487562189068</v>
      </c>
      <c r="R19" s="6"/>
      <c r="S19" s="20"/>
      <c r="T19" s="6"/>
      <c r="U19" s="6">
        <f t="shared" si="11"/>
        <v>27</v>
      </c>
      <c r="V19" s="8"/>
      <c r="W19" s="12">
        <f>(U19-U18)/(U22-U18)</f>
        <v>0.25</v>
      </c>
      <c r="X19" s="8">
        <f>W19*V22+(1-W19)*V18</f>
        <v>0.56140350877192979</v>
      </c>
      <c r="Y19" s="9">
        <f t="shared" si="12"/>
        <v>1.78125</v>
      </c>
      <c r="Z19" s="11"/>
      <c r="AA19" s="20"/>
      <c r="AB19" s="11"/>
      <c r="AC19" s="6">
        <f t="shared" si="13"/>
        <v>27</v>
      </c>
      <c r="AD19" s="8">
        <f t="shared" si="4"/>
        <v>0.56140350877192979</v>
      </c>
      <c r="AE19" s="8">
        <v>1</v>
      </c>
      <c r="AF19" s="8">
        <f t="shared" si="5"/>
        <v>0.56140350877192979</v>
      </c>
      <c r="AG19" s="9">
        <f t="shared" si="14"/>
        <v>1.78125</v>
      </c>
      <c r="AH19" s="9"/>
      <c r="AI19" s="20"/>
      <c r="AJ19" s="11"/>
      <c r="AN19" s="5"/>
      <c r="AO19" s="5"/>
    </row>
    <row r="20" spans="1:41" x14ac:dyDescent="0.25">
      <c r="A20" s="20"/>
      <c r="C20" s="6">
        <f t="shared" si="6"/>
        <v>10</v>
      </c>
      <c r="D20" s="19">
        <f t="shared" si="0"/>
        <v>0.34722222222222221</v>
      </c>
      <c r="E20" s="6"/>
      <c r="F20" s="20"/>
      <c r="G20" s="6"/>
      <c r="H20" s="6">
        <f t="shared" si="7"/>
        <v>120</v>
      </c>
      <c r="I20" s="9">
        <v>1</v>
      </c>
      <c r="J20" s="8">
        <f t="shared" si="8"/>
        <v>1</v>
      </c>
      <c r="K20" s="6"/>
      <c r="L20" s="20"/>
      <c r="M20" s="6"/>
      <c r="N20" s="6">
        <f t="shared" si="9"/>
        <v>120</v>
      </c>
      <c r="O20" s="8">
        <f t="shared" si="3"/>
        <v>1</v>
      </c>
      <c r="P20" s="8">
        <f t="shared" si="1"/>
        <v>1</v>
      </c>
      <c r="Q20" s="8">
        <f t="shared" si="10"/>
        <v>1</v>
      </c>
      <c r="R20" s="6"/>
      <c r="S20" s="20"/>
      <c r="T20" s="6"/>
      <c r="U20" s="6">
        <f t="shared" si="11"/>
        <v>30</v>
      </c>
      <c r="V20" s="8"/>
      <c r="W20" s="12">
        <f>(U20-U18)/(U22-U18)</f>
        <v>0.5</v>
      </c>
      <c r="X20" s="8">
        <f>W20*V22+(1-W20)*V18</f>
        <v>0.59649122807017541</v>
      </c>
      <c r="Y20" s="9">
        <f t="shared" si="12"/>
        <v>1.6764705882352942</v>
      </c>
      <c r="Z20" s="11"/>
      <c r="AA20" s="20"/>
      <c r="AB20" s="11"/>
      <c r="AC20" s="6">
        <f t="shared" si="13"/>
        <v>30</v>
      </c>
      <c r="AD20" s="8">
        <f t="shared" si="4"/>
        <v>0.59649122807017541</v>
      </c>
      <c r="AE20" s="8">
        <v>1</v>
      </c>
      <c r="AF20" s="8">
        <f t="shared" si="5"/>
        <v>0.59649122807017541</v>
      </c>
      <c r="AG20" s="9">
        <f t="shared" si="14"/>
        <v>1.6764705882352942</v>
      </c>
      <c r="AH20" s="9"/>
      <c r="AI20" s="20"/>
      <c r="AJ20" s="11"/>
      <c r="AN20" s="5"/>
      <c r="AO20" s="5"/>
    </row>
    <row r="21" spans="1:41" x14ac:dyDescent="0.25">
      <c r="A21" s="20"/>
      <c r="C21" s="6">
        <f t="shared" si="6"/>
        <v>11</v>
      </c>
      <c r="D21" s="19">
        <f t="shared" si="0"/>
        <v>0.4201388888888889</v>
      </c>
      <c r="E21" s="6"/>
      <c r="F21" s="20"/>
      <c r="G21" s="6"/>
      <c r="H21" s="6"/>
      <c r="I21" s="6"/>
      <c r="J21" s="6"/>
      <c r="K21" s="6"/>
      <c r="L21" s="20"/>
      <c r="M21" s="6"/>
      <c r="N21" s="6"/>
      <c r="O21" s="6"/>
      <c r="P21" s="6"/>
      <c r="Q21" s="6"/>
      <c r="R21" s="6"/>
      <c r="S21" s="20"/>
      <c r="T21" s="6"/>
      <c r="U21" s="6">
        <f t="shared" si="11"/>
        <v>33</v>
      </c>
      <c r="V21" s="6"/>
      <c r="W21" s="12">
        <f>(U21-U18)/(U22-U18)</f>
        <v>0.75</v>
      </c>
      <c r="X21" s="8">
        <f>W21*V22+(1-W21)*V18</f>
        <v>0.63157894736842102</v>
      </c>
      <c r="Y21" s="9">
        <f t="shared" si="12"/>
        <v>1.5833333333333335</v>
      </c>
      <c r="Z21" s="11"/>
      <c r="AA21" s="20"/>
      <c r="AB21" s="11"/>
      <c r="AC21" s="6">
        <f t="shared" si="13"/>
        <v>33</v>
      </c>
      <c r="AD21" s="8">
        <f t="shared" si="4"/>
        <v>0.63157894736842102</v>
      </c>
      <c r="AE21" s="8">
        <v>1</v>
      </c>
      <c r="AF21" s="8">
        <f t="shared" si="5"/>
        <v>0.63157894736842102</v>
      </c>
      <c r="AG21" s="9">
        <f t="shared" si="14"/>
        <v>1.5833333333333335</v>
      </c>
      <c r="AH21" s="9"/>
      <c r="AI21" s="20"/>
      <c r="AJ21" s="11"/>
      <c r="AN21" s="5"/>
      <c r="AO21" s="5"/>
    </row>
    <row r="22" spans="1:41" x14ac:dyDescent="0.25">
      <c r="A22" s="20"/>
      <c r="C22" s="6">
        <f t="shared" si="6"/>
        <v>12</v>
      </c>
      <c r="D22" s="19">
        <f t="shared" si="0"/>
        <v>0.5</v>
      </c>
      <c r="E22" s="6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6"/>
      <c r="U22" s="6">
        <f t="shared" si="11"/>
        <v>36</v>
      </c>
      <c r="V22" s="8">
        <f>VLOOKUP(U22,ATU_Table,4,FALSE)</f>
        <v>0.66666666666666663</v>
      </c>
      <c r="W22" s="13">
        <f>(U22-U18)/(U22-U18)</f>
        <v>1</v>
      </c>
      <c r="X22" s="8">
        <f>W22*V22+(1-W22)*V18</f>
        <v>0.66666666666666663</v>
      </c>
      <c r="Y22" s="9">
        <f t="shared" si="12"/>
        <v>1.5</v>
      </c>
      <c r="Z22" s="11"/>
      <c r="AA22" s="20"/>
      <c r="AB22" s="11"/>
      <c r="AC22" s="6">
        <f t="shared" si="13"/>
        <v>36</v>
      </c>
      <c r="AD22" s="8">
        <f t="shared" si="4"/>
        <v>0.66666666666666663</v>
      </c>
      <c r="AE22" s="8">
        <v>1</v>
      </c>
      <c r="AF22" s="8">
        <f t="shared" si="5"/>
        <v>0.66666666666666663</v>
      </c>
      <c r="AG22" s="9">
        <f t="shared" si="14"/>
        <v>1.5</v>
      </c>
      <c r="AH22" s="9"/>
      <c r="AI22" s="20"/>
    </row>
    <row r="23" spans="1:41" x14ac:dyDescent="0.25">
      <c r="A23" s="20"/>
      <c r="C23" s="6">
        <f t="shared" si="6"/>
        <v>13</v>
      </c>
      <c r="D23" s="19">
        <f t="shared" si="0"/>
        <v>0.57986111111111116</v>
      </c>
      <c r="E23" s="6"/>
      <c r="F23" s="20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20"/>
      <c r="T23" s="6"/>
      <c r="U23" s="6">
        <f t="shared" si="11"/>
        <v>39</v>
      </c>
      <c r="V23" s="6"/>
      <c r="W23" s="10">
        <f>(U23-U22)/(U26-U22)</f>
        <v>0.25</v>
      </c>
      <c r="X23" s="8">
        <f>W23*V26+(1-W23)*V22</f>
        <v>0.7</v>
      </c>
      <c r="Y23" s="9">
        <f t="shared" si="12"/>
        <v>1.4285714285714286</v>
      </c>
      <c r="Z23" s="11"/>
      <c r="AA23" s="20"/>
      <c r="AB23" s="11"/>
      <c r="AC23" s="6">
        <f t="shared" si="13"/>
        <v>39</v>
      </c>
      <c r="AD23" s="8">
        <f t="shared" si="4"/>
        <v>0.7</v>
      </c>
      <c r="AE23" s="8">
        <v>1</v>
      </c>
      <c r="AF23" s="8">
        <f t="shared" si="5"/>
        <v>0.7</v>
      </c>
      <c r="AG23" s="9">
        <f t="shared" si="14"/>
        <v>1.4285714285714286</v>
      </c>
      <c r="AH23" s="9"/>
      <c r="AI23" s="20"/>
    </row>
    <row r="24" spans="1:41" x14ac:dyDescent="0.25">
      <c r="A24" s="20"/>
      <c r="C24" s="6">
        <f t="shared" si="6"/>
        <v>14</v>
      </c>
      <c r="D24" s="19">
        <f t="shared" si="0"/>
        <v>0.65277777777777779</v>
      </c>
      <c r="E24" s="6"/>
      <c r="F24" s="20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20"/>
      <c r="T24" s="6"/>
      <c r="U24" s="6">
        <f t="shared" si="11"/>
        <v>42</v>
      </c>
      <c r="V24" s="6"/>
      <c r="W24" s="12">
        <f>(U24-U22)/(U26-U22)</f>
        <v>0.5</v>
      </c>
      <c r="X24" s="8">
        <f>W24*V26+(1-W24)*V22</f>
        <v>0.73333333333333339</v>
      </c>
      <c r="Y24" s="9">
        <f t="shared" si="12"/>
        <v>1.3636363636363635</v>
      </c>
      <c r="Z24" s="11"/>
      <c r="AA24" s="20"/>
      <c r="AB24" s="11"/>
      <c r="AC24" s="6">
        <f t="shared" si="13"/>
        <v>42</v>
      </c>
      <c r="AD24" s="8">
        <f t="shared" si="4"/>
        <v>0.73333333333333339</v>
      </c>
      <c r="AE24" s="8">
        <v>1</v>
      </c>
      <c r="AF24" s="8">
        <f t="shared" si="5"/>
        <v>0.73333333333333339</v>
      </c>
      <c r="AG24" s="9">
        <f t="shared" si="14"/>
        <v>1.3636363636363635</v>
      </c>
      <c r="AH24" s="9"/>
      <c r="AI24" s="20"/>
    </row>
    <row r="25" spans="1:41" x14ac:dyDescent="0.25">
      <c r="A25" s="20"/>
      <c r="C25" s="6">
        <f t="shared" si="6"/>
        <v>15</v>
      </c>
      <c r="D25" s="19">
        <f t="shared" si="0"/>
        <v>0.71875</v>
      </c>
      <c r="E25" s="6"/>
      <c r="F25" s="20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20"/>
      <c r="T25" s="6"/>
      <c r="U25" s="6">
        <f t="shared" si="11"/>
        <v>45</v>
      </c>
      <c r="V25" s="6"/>
      <c r="W25" s="12">
        <f>(U25-U22)/(U26-U22)</f>
        <v>0.75</v>
      </c>
      <c r="X25" s="8">
        <f>W25*V26+(1-W25)*V22</f>
        <v>0.76666666666666672</v>
      </c>
      <c r="Y25" s="9">
        <f t="shared" si="12"/>
        <v>1.3043478260869565</v>
      </c>
      <c r="Z25" s="11"/>
      <c r="AA25" s="20"/>
      <c r="AB25" s="11"/>
      <c r="AC25" s="6">
        <f t="shared" si="13"/>
        <v>45</v>
      </c>
      <c r="AD25" s="8">
        <f t="shared" si="4"/>
        <v>0.76666666666666672</v>
      </c>
      <c r="AE25" s="8">
        <v>1</v>
      </c>
      <c r="AF25" s="8">
        <f t="shared" si="5"/>
        <v>0.76666666666666672</v>
      </c>
      <c r="AG25" s="9">
        <f t="shared" si="14"/>
        <v>1.3043478260869565</v>
      </c>
      <c r="AH25" s="9"/>
      <c r="AI25" s="20"/>
    </row>
    <row r="26" spans="1:41" x14ac:dyDescent="0.25">
      <c r="A26" s="20"/>
      <c r="C26" s="6">
        <f t="shared" si="6"/>
        <v>16</v>
      </c>
      <c r="D26" s="19">
        <f t="shared" si="0"/>
        <v>0.77777777777777779</v>
      </c>
      <c r="E26" s="6"/>
      <c r="F26" s="20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20"/>
      <c r="T26" s="6"/>
      <c r="U26" s="6">
        <f t="shared" si="11"/>
        <v>48</v>
      </c>
      <c r="V26" s="8">
        <f>VLOOKUP(U26,ATU_Table,4,FALSE)</f>
        <v>0.8</v>
      </c>
      <c r="W26" s="13">
        <f>(U26-U22)/(U26-U22)</f>
        <v>1</v>
      </c>
      <c r="X26" s="8">
        <f>W26*V26+(1-W26)*V22</f>
        <v>0.8</v>
      </c>
      <c r="Y26" s="9">
        <f t="shared" si="12"/>
        <v>1.25</v>
      </c>
      <c r="Z26" s="11"/>
      <c r="AA26" s="20"/>
      <c r="AB26" s="11"/>
      <c r="AC26" s="6">
        <f t="shared" si="13"/>
        <v>48</v>
      </c>
      <c r="AD26" s="8">
        <f t="shared" si="4"/>
        <v>0.8</v>
      </c>
      <c r="AE26" s="8">
        <v>1</v>
      </c>
      <c r="AF26" s="8">
        <f t="shared" si="5"/>
        <v>0.8</v>
      </c>
      <c r="AG26" s="9">
        <f t="shared" si="14"/>
        <v>1.25</v>
      </c>
      <c r="AH26" s="9"/>
      <c r="AI26" s="20"/>
    </row>
    <row r="27" spans="1:41" x14ac:dyDescent="0.25">
      <c r="A27" s="20"/>
      <c r="C27" s="6">
        <f t="shared" si="6"/>
        <v>17</v>
      </c>
      <c r="D27" s="19">
        <f t="shared" si="0"/>
        <v>0.82986111111111116</v>
      </c>
      <c r="E27" s="6"/>
      <c r="F27" s="20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20"/>
      <c r="T27" s="6"/>
      <c r="U27" s="6">
        <f t="shared" si="11"/>
        <v>51</v>
      </c>
      <c r="V27" s="6"/>
      <c r="W27" s="10">
        <f>(U27-U26)/(U30-U26)</f>
        <v>0.25</v>
      </c>
      <c r="X27" s="8">
        <f>W27*V30+(1-W27)*V26</f>
        <v>0.82727272727272738</v>
      </c>
      <c r="Y27" s="9">
        <f t="shared" si="12"/>
        <v>1.2087912087912087</v>
      </c>
      <c r="Z27" s="11"/>
      <c r="AA27" s="20"/>
      <c r="AB27" s="11"/>
      <c r="AC27" s="6">
        <f t="shared" si="13"/>
        <v>51</v>
      </c>
      <c r="AD27" s="8">
        <f t="shared" si="4"/>
        <v>0.82727272727272738</v>
      </c>
      <c r="AE27" s="8">
        <v>1</v>
      </c>
      <c r="AF27" s="8">
        <f t="shared" si="5"/>
        <v>0.82727272727272738</v>
      </c>
      <c r="AG27" s="9">
        <f t="shared" si="14"/>
        <v>1.2087912087912087</v>
      </c>
      <c r="AH27" s="9"/>
      <c r="AI27" s="20"/>
    </row>
    <row r="28" spans="1:41" x14ac:dyDescent="0.25">
      <c r="A28" s="20"/>
      <c r="C28" s="6">
        <f t="shared" si="6"/>
        <v>18</v>
      </c>
      <c r="D28" s="19">
        <f t="shared" si="0"/>
        <v>0.875</v>
      </c>
      <c r="E28" s="6"/>
      <c r="F28" s="20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20"/>
      <c r="T28" s="6"/>
      <c r="U28" s="6">
        <f t="shared" si="11"/>
        <v>54</v>
      </c>
      <c r="V28" s="6"/>
      <c r="W28" s="12">
        <f>(U28-U26)/(U30-U26)</f>
        <v>0.5</v>
      </c>
      <c r="X28" s="8">
        <f>W28*V30+(1-W28)*V26</f>
        <v>0.8545454545454545</v>
      </c>
      <c r="Y28" s="9">
        <f t="shared" si="12"/>
        <v>1.1702127659574468</v>
      </c>
      <c r="Z28" s="11"/>
      <c r="AA28" s="20"/>
      <c r="AB28" s="11"/>
      <c r="AC28" s="6">
        <f t="shared" si="13"/>
        <v>54</v>
      </c>
      <c r="AD28" s="8">
        <f t="shared" si="4"/>
        <v>0.8545454545454545</v>
      </c>
      <c r="AE28" s="8">
        <v>1</v>
      </c>
      <c r="AF28" s="8">
        <f t="shared" si="5"/>
        <v>0.8545454545454545</v>
      </c>
      <c r="AG28" s="9">
        <f t="shared" si="14"/>
        <v>1.1702127659574468</v>
      </c>
      <c r="AH28" s="9"/>
      <c r="AI28" s="20"/>
    </row>
    <row r="29" spans="1:41" x14ac:dyDescent="0.25">
      <c r="A29" s="20"/>
      <c r="C29" s="6">
        <f t="shared" si="6"/>
        <v>19</v>
      </c>
      <c r="D29" s="19">
        <f t="shared" si="0"/>
        <v>0.91319444444444442</v>
      </c>
      <c r="E29" s="6"/>
      <c r="F29" s="20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0"/>
      <c r="T29" s="6"/>
      <c r="U29" s="6">
        <f t="shared" si="11"/>
        <v>57</v>
      </c>
      <c r="V29" s="6"/>
      <c r="W29" s="12">
        <f>(U29-U26)/(U30-U26)</f>
        <v>0.75</v>
      </c>
      <c r="X29" s="8">
        <f>W29*V30+(1-W29)*V26</f>
        <v>0.88181818181818183</v>
      </c>
      <c r="Y29" s="9">
        <f t="shared" si="12"/>
        <v>1.134020618556701</v>
      </c>
      <c r="Z29" s="11"/>
      <c r="AA29" s="20"/>
      <c r="AB29" s="11"/>
      <c r="AC29" s="6">
        <f t="shared" si="13"/>
        <v>57</v>
      </c>
      <c r="AD29" s="8">
        <f t="shared" si="4"/>
        <v>0.88181818181818183</v>
      </c>
      <c r="AE29" s="8">
        <v>1</v>
      </c>
      <c r="AF29" s="8">
        <f t="shared" si="5"/>
        <v>0.88181818181818183</v>
      </c>
      <c r="AG29" s="9">
        <f t="shared" si="14"/>
        <v>1.134020618556701</v>
      </c>
      <c r="AH29" s="9"/>
      <c r="AI29" s="20"/>
    </row>
    <row r="30" spans="1:41" x14ac:dyDescent="0.25">
      <c r="A30" s="20"/>
      <c r="C30" s="6">
        <f t="shared" si="6"/>
        <v>20</v>
      </c>
      <c r="D30" s="19">
        <f t="shared" si="0"/>
        <v>0.94444444444444442</v>
      </c>
      <c r="E30" s="6"/>
      <c r="F30" s="20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0"/>
      <c r="T30" s="6"/>
      <c r="U30" s="6">
        <f t="shared" si="11"/>
        <v>60</v>
      </c>
      <c r="V30" s="8">
        <f>VLOOKUP(U30,ATU_Table,4,FALSE)</f>
        <v>0.90909090909090906</v>
      </c>
      <c r="W30" s="13">
        <f>(U30-U26)/(U30-U26)</f>
        <v>1</v>
      </c>
      <c r="X30" s="8">
        <f>W30*V30+(1-W30)*V26</f>
        <v>0.90909090909090906</v>
      </c>
      <c r="Y30" s="9">
        <f t="shared" si="12"/>
        <v>1.1000000000000001</v>
      </c>
      <c r="Z30" s="11"/>
      <c r="AA30" s="20"/>
      <c r="AB30" s="11"/>
      <c r="AC30" s="6">
        <f t="shared" si="13"/>
        <v>60</v>
      </c>
      <c r="AD30" s="8">
        <f t="shared" si="4"/>
        <v>0.90909090909090906</v>
      </c>
      <c r="AE30" s="8">
        <v>1</v>
      </c>
      <c r="AF30" s="8">
        <f t="shared" si="5"/>
        <v>0.90909090909090906</v>
      </c>
      <c r="AG30" s="9">
        <f t="shared" si="14"/>
        <v>1.1000000000000001</v>
      </c>
      <c r="AH30" s="9"/>
      <c r="AI30" s="20"/>
    </row>
    <row r="31" spans="1:41" x14ac:dyDescent="0.25">
      <c r="A31" s="20"/>
      <c r="C31" s="6">
        <f t="shared" si="6"/>
        <v>21</v>
      </c>
      <c r="D31" s="19">
        <f t="shared" si="0"/>
        <v>0.96875</v>
      </c>
      <c r="E31" s="6"/>
      <c r="F31" s="20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20"/>
      <c r="T31" s="6"/>
      <c r="U31" s="6">
        <f t="shared" si="11"/>
        <v>63</v>
      </c>
      <c r="V31" s="6"/>
      <c r="W31" s="10">
        <f>(U31-U30)/(U34-U30)</f>
        <v>0.25</v>
      </c>
      <c r="X31" s="8">
        <f>W31*V34+(1-W31)*V30</f>
        <v>0.91991341991341979</v>
      </c>
      <c r="Y31" s="9">
        <f t="shared" si="12"/>
        <v>1.0870588235294119</v>
      </c>
      <c r="Z31" s="11"/>
      <c r="AA31" s="20"/>
      <c r="AB31" s="11"/>
      <c r="AC31" s="6">
        <f t="shared" si="13"/>
        <v>63</v>
      </c>
      <c r="AD31" s="8">
        <f t="shared" si="4"/>
        <v>0.91991341991341979</v>
      </c>
      <c r="AE31" s="8">
        <v>1</v>
      </c>
      <c r="AF31" s="8">
        <f t="shared" si="5"/>
        <v>0.91991341991341979</v>
      </c>
      <c r="AG31" s="9">
        <f t="shared" si="14"/>
        <v>1.0870588235294119</v>
      </c>
      <c r="AH31" s="9"/>
      <c r="AI31" s="20"/>
    </row>
    <row r="32" spans="1:41" x14ac:dyDescent="0.25">
      <c r="A32" s="20"/>
      <c r="C32" s="6">
        <f t="shared" si="6"/>
        <v>22</v>
      </c>
      <c r="D32" s="19">
        <f t="shared" si="0"/>
        <v>0.98611111111111116</v>
      </c>
      <c r="E32" s="6"/>
      <c r="F32" s="20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20"/>
      <c r="T32" s="6"/>
      <c r="U32" s="6">
        <f t="shared" si="11"/>
        <v>66</v>
      </c>
      <c r="V32" s="6"/>
      <c r="W32" s="12">
        <f>(U32-U30)/(U34-U30)</f>
        <v>0.5</v>
      </c>
      <c r="X32" s="8">
        <f>W32*V34+(1-W32)*V30</f>
        <v>0.93073593073593064</v>
      </c>
      <c r="Y32" s="9">
        <f t="shared" si="12"/>
        <v>1.074418604651163</v>
      </c>
      <c r="Z32" s="11"/>
      <c r="AA32" s="20"/>
      <c r="AB32" s="11"/>
      <c r="AC32" s="6">
        <f t="shared" si="13"/>
        <v>66</v>
      </c>
      <c r="AD32" s="8">
        <f t="shared" si="4"/>
        <v>0.93073593073593064</v>
      </c>
      <c r="AE32" s="8">
        <v>1</v>
      </c>
      <c r="AF32" s="8">
        <f t="shared" si="5"/>
        <v>0.93073593073593064</v>
      </c>
      <c r="AG32" s="9">
        <f t="shared" si="14"/>
        <v>1.074418604651163</v>
      </c>
      <c r="AH32" s="9"/>
      <c r="AI32" s="20"/>
    </row>
    <row r="33" spans="1:35" x14ac:dyDescent="0.25">
      <c r="A33" s="20"/>
      <c r="C33" s="6">
        <f t="shared" si="6"/>
        <v>23</v>
      </c>
      <c r="D33" s="19">
        <f t="shared" si="0"/>
        <v>0.99652777777777779</v>
      </c>
      <c r="E33" s="6"/>
      <c r="F33" s="20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20"/>
      <c r="T33" s="6"/>
      <c r="U33" s="6">
        <f t="shared" si="11"/>
        <v>69</v>
      </c>
      <c r="V33" s="6"/>
      <c r="W33" s="12">
        <f>(U33-U30)/(U34-U30)</f>
        <v>0.75</v>
      </c>
      <c r="X33" s="8">
        <f>W33*V34+(1-W33)*V30</f>
        <v>0.94155844155844148</v>
      </c>
      <c r="Y33" s="9">
        <f t="shared" si="12"/>
        <v>1.0620689655172415</v>
      </c>
      <c r="Z33" s="11"/>
      <c r="AA33" s="20"/>
      <c r="AB33" s="11"/>
      <c r="AC33" s="6">
        <f t="shared" si="13"/>
        <v>69</v>
      </c>
      <c r="AD33" s="8">
        <f t="shared" si="4"/>
        <v>0.94155844155844148</v>
      </c>
      <c r="AE33" s="8">
        <v>1</v>
      </c>
      <c r="AF33" s="8">
        <f t="shared" si="5"/>
        <v>0.94155844155844148</v>
      </c>
      <c r="AG33" s="9">
        <f t="shared" si="14"/>
        <v>1.0620689655172415</v>
      </c>
      <c r="AH33" s="9"/>
      <c r="AI33" s="20"/>
    </row>
    <row r="34" spans="1:35" x14ac:dyDescent="0.25">
      <c r="A34" s="20"/>
      <c r="C34" s="6">
        <f t="shared" si="6"/>
        <v>24</v>
      </c>
      <c r="D34" s="19">
        <f t="shared" si="0"/>
        <v>1</v>
      </c>
      <c r="E34" s="6"/>
      <c r="F34" s="20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20"/>
      <c r="T34" s="6"/>
      <c r="U34" s="6">
        <f t="shared" si="11"/>
        <v>72</v>
      </c>
      <c r="V34" s="8">
        <f>VLOOKUP(U34,ATU_Table,4,FALSE)</f>
        <v>0.95238095238095233</v>
      </c>
      <c r="W34" s="13">
        <f>(U34-U30)/(U34-U30)</f>
        <v>1</v>
      </c>
      <c r="X34" s="8">
        <f>W34*V34+(1-W34)*V30</f>
        <v>0.95238095238095233</v>
      </c>
      <c r="Y34" s="9">
        <f t="shared" si="12"/>
        <v>1.05</v>
      </c>
      <c r="Z34" s="11"/>
      <c r="AA34" s="20"/>
      <c r="AB34" s="11"/>
      <c r="AC34" s="6">
        <f t="shared" si="13"/>
        <v>72</v>
      </c>
      <c r="AD34" s="8">
        <f t="shared" si="4"/>
        <v>0.95238095238095233</v>
      </c>
      <c r="AE34" s="8">
        <v>1</v>
      </c>
      <c r="AF34" s="8">
        <f t="shared" si="5"/>
        <v>0.95238095238095233</v>
      </c>
      <c r="AG34" s="9">
        <f t="shared" si="14"/>
        <v>1.05</v>
      </c>
      <c r="AH34" s="9"/>
      <c r="AI34" s="20"/>
    </row>
    <row r="35" spans="1:35" x14ac:dyDescent="0.25">
      <c r="A35" s="20"/>
      <c r="C35" s="6" t="s">
        <v>28</v>
      </c>
      <c r="D35" s="19">
        <v>1</v>
      </c>
      <c r="F35" s="20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20"/>
      <c r="T35" s="6"/>
      <c r="U35" s="6">
        <f t="shared" si="11"/>
        <v>75</v>
      </c>
      <c r="V35" s="6"/>
      <c r="W35" s="10">
        <f>(U35-U34)/(U38-U34)</f>
        <v>0.25</v>
      </c>
      <c r="X35" s="8">
        <f>W35*V38+(1-W35)*V34</f>
        <v>0.95938375350140048</v>
      </c>
      <c r="Y35" s="9">
        <f t="shared" si="12"/>
        <v>1.0423357664233577</v>
      </c>
      <c r="Z35" s="11"/>
      <c r="AA35" s="20"/>
      <c r="AB35" s="11"/>
      <c r="AC35" s="6">
        <f t="shared" si="13"/>
        <v>75</v>
      </c>
      <c r="AD35" s="8">
        <f t="shared" si="4"/>
        <v>0.95938375350140048</v>
      </c>
      <c r="AE35" s="8">
        <v>1</v>
      </c>
      <c r="AF35" s="8">
        <f t="shared" si="5"/>
        <v>0.95938375350140048</v>
      </c>
      <c r="AG35" s="9">
        <f t="shared" si="14"/>
        <v>1.0423357664233577</v>
      </c>
      <c r="AH35" s="9"/>
      <c r="AI35" s="20"/>
    </row>
    <row r="36" spans="1:35" x14ac:dyDescent="0.25">
      <c r="A36" s="20"/>
      <c r="C36" s="6"/>
      <c r="D36" s="6"/>
      <c r="E36" s="6"/>
      <c r="F36" s="20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20"/>
      <c r="T36" s="6"/>
      <c r="U36" s="6">
        <f t="shared" si="11"/>
        <v>78</v>
      </c>
      <c r="V36" s="6"/>
      <c r="W36" s="12">
        <f>(U36-U34)/(U38-U34)</f>
        <v>0.5</v>
      </c>
      <c r="X36" s="8">
        <f>W36*V38+(1-W36)*V34</f>
        <v>0.96638655462184864</v>
      </c>
      <c r="Y36" s="9">
        <f t="shared" si="12"/>
        <v>1.0347826086956522</v>
      </c>
      <c r="Z36" s="11"/>
      <c r="AA36" s="20"/>
      <c r="AB36" s="11"/>
      <c r="AC36" s="6">
        <f t="shared" si="13"/>
        <v>78</v>
      </c>
      <c r="AD36" s="8">
        <f t="shared" si="4"/>
        <v>0.96638655462184864</v>
      </c>
      <c r="AE36" s="8">
        <v>1</v>
      </c>
      <c r="AF36" s="8">
        <f t="shared" si="5"/>
        <v>0.96638655462184864</v>
      </c>
      <c r="AG36" s="9">
        <f t="shared" si="14"/>
        <v>1.0347826086956522</v>
      </c>
      <c r="AH36" s="9"/>
      <c r="AI36" s="20"/>
    </row>
    <row r="37" spans="1:35" x14ac:dyDescent="0.25">
      <c r="A37" s="20"/>
      <c r="B37" s="20"/>
      <c r="C37" s="20"/>
      <c r="D37" s="20"/>
      <c r="E37" s="20"/>
      <c r="F37" s="20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20"/>
      <c r="T37" s="6"/>
      <c r="U37" s="6">
        <f t="shared" si="11"/>
        <v>81</v>
      </c>
      <c r="V37" s="6"/>
      <c r="W37" s="12">
        <f>(U37-U34)/(U38-U34)</f>
        <v>0.75</v>
      </c>
      <c r="X37" s="8">
        <f>W37*V38+(1-W37)*V34</f>
        <v>0.97338935574229679</v>
      </c>
      <c r="Y37" s="9">
        <f t="shared" si="12"/>
        <v>1.027338129496403</v>
      </c>
      <c r="Z37" s="11"/>
      <c r="AA37" s="20"/>
      <c r="AB37" s="11"/>
      <c r="AC37" s="6">
        <f t="shared" si="13"/>
        <v>81</v>
      </c>
      <c r="AD37" s="8">
        <f t="shared" si="4"/>
        <v>0.97338935574229679</v>
      </c>
      <c r="AE37" s="8">
        <v>1</v>
      </c>
      <c r="AF37" s="8">
        <f t="shared" si="5"/>
        <v>0.97338935574229679</v>
      </c>
      <c r="AG37" s="9">
        <f t="shared" si="14"/>
        <v>1.027338129496403</v>
      </c>
      <c r="AH37" s="9"/>
      <c r="AI37" s="20"/>
    </row>
    <row r="38" spans="1:35" x14ac:dyDescent="0.25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20"/>
      <c r="T38" s="6"/>
      <c r="U38" s="6">
        <f t="shared" si="11"/>
        <v>84</v>
      </c>
      <c r="V38" s="8">
        <f>VLOOKUP(U38,ATU_Table,4,FALSE)</f>
        <v>0.98039215686274506</v>
      </c>
      <c r="W38" s="13">
        <f>(U38-U34)/(U38-U34)</f>
        <v>1</v>
      </c>
      <c r="X38" s="8">
        <f>W38*V38+(1-W38)*V34</f>
        <v>0.98039215686274506</v>
      </c>
      <c r="Y38" s="9">
        <f t="shared" si="12"/>
        <v>1.02</v>
      </c>
      <c r="Z38" s="11"/>
      <c r="AA38" s="20"/>
      <c r="AB38" s="11"/>
      <c r="AC38" s="6">
        <f t="shared" si="13"/>
        <v>84</v>
      </c>
      <c r="AD38" s="8">
        <f t="shared" si="4"/>
        <v>0.98039215686274506</v>
      </c>
      <c r="AE38" s="8">
        <v>1</v>
      </c>
      <c r="AF38" s="8">
        <f t="shared" si="5"/>
        <v>0.98039215686274506</v>
      </c>
      <c r="AG38" s="9">
        <f t="shared" si="14"/>
        <v>1.02</v>
      </c>
      <c r="AH38" s="9"/>
      <c r="AI38" s="20"/>
    </row>
    <row r="39" spans="1:35" x14ac:dyDescent="0.25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20"/>
      <c r="T39" s="6"/>
      <c r="U39" s="6">
        <f t="shared" si="11"/>
        <v>87</v>
      </c>
      <c r="V39" s="6"/>
      <c r="W39" s="10">
        <f>(U39-U38)/(U42-U38)</f>
        <v>0.25</v>
      </c>
      <c r="X39" s="8">
        <f>W39*V42+(1-W39)*V38</f>
        <v>0.98281887012230629</v>
      </c>
      <c r="Y39" s="9">
        <f t="shared" si="12"/>
        <v>1.0174814814814817</v>
      </c>
      <c r="Z39" s="11"/>
      <c r="AA39" s="20"/>
      <c r="AB39" s="11"/>
      <c r="AC39" s="6">
        <f t="shared" si="13"/>
        <v>87</v>
      </c>
      <c r="AD39" s="8">
        <f t="shared" si="4"/>
        <v>0.98281887012230629</v>
      </c>
      <c r="AE39" s="8">
        <v>1</v>
      </c>
      <c r="AF39" s="8">
        <f t="shared" si="5"/>
        <v>0.98281887012230629</v>
      </c>
      <c r="AG39" s="9">
        <f t="shared" si="14"/>
        <v>1.0174814814814817</v>
      </c>
      <c r="AH39" s="9"/>
      <c r="AI39" s="20"/>
    </row>
    <row r="40" spans="1:35" x14ac:dyDescent="0.25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20"/>
      <c r="T40" s="6"/>
      <c r="U40" s="6">
        <f t="shared" si="11"/>
        <v>90</v>
      </c>
      <c r="V40" s="6"/>
      <c r="W40" s="12">
        <f>(U40-U38)/(U42-U38)</f>
        <v>0.5</v>
      </c>
      <c r="X40" s="8">
        <f>W40*V42+(1-W40)*V38</f>
        <v>0.98524558338186763</v>
      </c>
      <c r="Y40" s="9">
        <f t="shared" si="12"/>
        <v>1.0149753694581281</v>
      </c>
      <c r="Z40" s="11"/>
      <c r="AA40" s="20"/>
      <c r="AB40" s="11"/>
      <c r="AC40" s="6">
        <f t="shared" si="13"/>
        <v>90</v>
      </c>
      <c r="AD40" s="8">
        <f t="shared" si="4"/>
        <v>0.98524558338186763</v>
      </c>
      <c r="AE40" s="8">
        <v>1</v>
      </c>
      <c r="AF40" s="8">
        <f t="shared" si="5"/>
        <v>0.98524558338186763</v>
      </c>
      <c r="AG40" s="9">
        <f t="shared" si="14"/>
        <v>1.0149753694581281</v>
      </c>
      <c r="AH40" s="9"/>
      <c r="AI40" s="20"/>
    </row>
    <row r="41" spans="1:35" x14ac:dyDescent="0.25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20"/>
      <c r="T41" s="6"/>
      <c r="U41" s="6">
        <f t="shared" si="11"/>
        <v>93</v>
      </c>
      <c r="V41" s="6"/>
      <c r="W41" s="12">
        <f>(U41-U38)/(U42-U38)</f>
        <v>0.75</v>
      </c>
      <c r="X41" s="8">
        <f>W41*V42+(1-W41)*V38</f>
        <v>0.98767229664142886</v>
      </c>
      <c r="Y41" s="9">
        <f t="shared" si="12"/>
        <v>1.0124815724815726</v>
      </c>
      <c r="Z41" s="11"/>
      <c r="AA41" s="20"/>
      <c r="AB41" s="11"/>
      <c r="AC41" s="6">
        <f t="shared" si="13"/>
        <v>93</v>
      </c>
      <c r="AD41" s="8">
        <f t="shared" si="4"/>
        <v>0.98767229664142886</v>
      </c>
      <c r="AE41" s="8">
        <v>1</v>
      </c>
      <c r="AF41" s="8">
        <f t="shared" si="5"/>
        <v>0.98767229664142886</v>
      </c>
      <c r="AG41" s="9">
        <f t="shared" si="14"/>
        <v>1.0124815724815726</v>
      </c>
      <c r="AH41" s="9"/>
      <c r="AI41" s="20"/>
    </row>
    <row r="42" spans="1:35" x14ac:dyDescent="0.25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20"/>
      <c r="T42" s="6"/>
      <c r="U42" s="6">
        <f t="shared" si="11"/>
        <v>96</v>
      </c>
      <c r="V42" s="8">
        <f>VLOOKUP(U42,ATU_Table,4,FALSE)</f>
        <v>0.99009900990099009</v>
      </c>
      <c r="W42" s="13">
        <f>(U42-U38)/(U42-U38)</f>
        <v>1</v>
      </c>
      <c r="X42" s="8">
        <f>W42*V42+(1-W42)*V38</f>
        <v>0.99009900990099009</v>
      </c>
      <c r="Y42" s="9">
        <f t="shared" si="12"/>
        <v>1.01</v>
      </c>
      <c r="Z42" s="11"/>
      <c r="AA42" s="20"/>
      <c r="AB42" s="11"/>
      <c r="AC42" s="6">
        <f t="shared" si="13"/>
        <v>96</v>
      </c>
      <c r="AD42" s="8">
        <f t="shared" si="4"/>
        <v>0.99009900990099009</v>
      </c>
      <c r="AE42" s="8">
        <v>1</v>
      </c>
      <c r="AF42" s="8">
        <f t="shared" si="5"/>
        <v>0.99009900990099009</v>
      </c>
      <c r="AG42" s="9">
        <f t="shared" si="14"/>
        <v>1.01</v>
      </c>
      <c r="AH42" s="9"/>
      <c r="AI42" s="20"/>
    </row>
    <row r="43" spans="1:35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20"/>
      <c r="T43" s="6"/>
      <c r="U43" s="6">
        <f t="shared" si="11"/>
        <v>99</v>
      </c>
      <c r="V43" s="6"/>
      <c r="W43" s="10">
        <f>(U43-U42)/(U46-U42)</f>
        <v>0.25</v>
      </c>
      <c r="X43" s="8">
        <f>W43*V46+(1-W43)*V42</f>
        <v>0.99133047633121518</v>
      </c>
      <c r="Y43" s="9">
        <f t="shared" si="12"/>
        <v>1.0087453416149068</v>
      </c>
      <c r="Z43" s="11"/>
      <c r="AA43" s="20"/>
      <c r="AB43" s="11"/>
      <c r="AC43" s="6">
        <f t="shared" si="13"/>
        <v>99</v>
      </c>
      <c r="AD43" s="8">
        <f t="shared" si="4"/>
        <v>0.99133047633121518</v>
      </c>
      <c r="AE43" s="8">
        <v>1</v>
      </c>
      <c r="AF43" s="8">
        <f t="shared" si="5"/>
        <v>0.99133047633121518</v>
      </c>
      <c r="AG43" s="9">
        <f t="shared" si="14"/>
        <v>1.0087453416149068</v>
      </c>
      <c r="AH43" s="9"/>
      <c r="AI43" s="20"/>
    </row>
    <row r="44" spans="1:35" x14ac:dyDescent="0.25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20"/>
      <c r="T44" s="6"/>
      <c r="U44" s="6">
        <f t="shared" si="11"/>
        <v>102</v>
      </c>
      <c r="V44" s="6"/>
      <c r="W44" s="12">
        <f>(U44-U42)/(U46-U42)</f>
        <v>0.5</v>
      </c>
      <c r="X44" s="8">
        <f>W44*V46+(1-W44)*V42</f>
        <v>0.99256194276144039</v>
      </c>
      <c r="Y44" s="9">
        <f t="shared" si="12"/>
        <v>1.0074937965260544</v>
      </c>
      <c r="Z44" s="11"/>
      <c r="AA44" s="20"/>
      <c r="AB44" s="11"/>
      <c r="AC44" s="6">
        <f t="shared" si="13"/>
        <v>102</v>
      </c>
      <c r="AD44" s="8">
        <f t="shared" si="4"/>
        <v>0.99256194276144039</v>
      </c>
      <c r="AE44" s="8">
        <v>1</v>
      </c>
      <c r="AF44" s="8">
        <f t="shared" si="5"/>
        <v>0.99256194276144039</v>
      </c>
      <c r="AG44" s="9">
        <f t="shared" si="14"/>
        <v>1.0074937965260544</v>
      </c>
      <c r="AH44" s="9"/>
      <c r="AI44" s="20"/>
    </row>
    <row r="45" spans="1:35" x14ac:dyDescent="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20"/>
      <c r="T45" s="6"/>
      <c r="U45" s="6">
        <f t="shared" si="11"/>
        <v>105</v>
      </c>
      <c r="V45" s="6"/>
      <c r="W45" s="12">
        <f>(U45-U42)/(U46-U42)</f>
        <v>0.75</v>
      </c>
      <c r="X45" s="8">
        <f>W45*V46+(1-W45)*V42</f>
        <v>0.99379340919166559</v>
      </c>
      <c r="Y45" s="9">
        <f t="shared" si="12"/>
        <v>1.0062453531598512</v>
      </c>
      <c r="Z45" s="11"/>
      <c r="AA45" s="20"/>
      <c r="AB45" s="11"/>
      <c r="AC45" s="6">
        <f t="shared" si="13"/>
        <v>105</v>
      </c>
      <c r="AD45" s="8">
        <f t="shared" si="4"/>
        <v>0.99379340919166559</v>
      </c>
      <c r="AE45" s="8">
        <v>1</v>
      </c>
      <c r="AF45" s="8">
        <f t="shared" si="5"/>
        <v>0.99379340919166559</v>
      </c>
      <c r="AG45" s="9">
        <f t="shared" si="14"/>
        <v>1.0062453531598512</v>
      </c>
      <c r="AH45" s="9"/>
      <c r="AI45" s="20"/>
    </row>
    <row r="46" spans="1:35" x14ac:dyDescent="0.25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20"/>
      <c r="T46" s="6"/>
      <c r="U46" s="6">
        <f t="shared" si="11"/>
        <v>108</v>
      </c>
      <c r="V46" s="8">
        <f>VLOOKUP(U46,ATU_Table,4,FALSE)</f>
        <v>0.99502487562189068</v>
      </c>
      <c r="W46" s="13">
        <f>(U46-U42)/(U46-U42)</f>
        <v>1</v>
      </c>
      <c r="X46" s="8">
        <f>W46*V46+(1-W46)*V42</f>
        <v>0.99502487562189068</v>
      </c>
      <c r="Y46" s="9">
        <f t="shared" si="12"/>
        <v>1.0049999999999999</v>
      </c>
      <c r="Z46" s="11"/>
      <c r="AA46" s="20"/>
      <c r="AB46" s="11"/>
      <c r="AC46" s="6">
        <f t="shared" si="13"/>
        <v>108</v>
      </c>
      <c r="AD46" s="8">
        <f t="shared" si="4"/>
        <v>0.99502487562189068</v>
      </c>
      <c r="AE46" s="8">
        <v>1</v>
      </c>
      <c r="AF46" s="8">
        <f t="shared" si="5"/>
        <v>0.99502487562189068</v>
      </c>
      <c r="AG46" s="9">
        <f t="shared" si="14"/>
        <v>1.0049999999999999</v>
      </c>
      <c r="AH46" s="9"/>
      <c r="AI46" s="20"/>
    </row>
    <row r="47" spans="1:35" x14ac:dyDescent="0.25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20"/>
      <c r="T47" s="6"/>
      <c r="U47" s="6">
        <f t="shared" si="11"/>
        <v>111</v>
      </c>
      <c r="V47" s="6"/>
      <c r="W47" s="10">
        <f>(U47-U46)/(U50-U46)</f>
        <v>0.25</v>
      </c>
      <c r="X47" s="8">
        <f>W47*V50+(1-W47)*V46</f>
        <v>0.99626865671641807</v>
      </c>
      <c r="Y47" s="9">
        <f t="shared" si="12"/>
        <v>1.0037453183520597</v>
      </c>
      <c r="Z47" s="11"/>
      <c r="AA47" s="20"/>
      <c r="AB47" s="11"/>
      <c r="AC47" s="6">
        <f t="shared" si="13"/>
        <v>111</v>
      </c>
      <c r="AD47" s="8">
        <f t="shared" si="4"/>
        <v>0.99626865671641807</v>
      </c>
      <c r="AE47" s="8">
        <v>1</v>
      </c>
      <c r="AF47" s="8">
        <f t="shared" si="5"/>
        <v>0.99626865671641807</v>
      </c>
      <c r="AG47" s="9">
        <f t="shared" si="14"/>
        <v>1.0037453183520597</v>
      </c>
      <c r="AH47" s="9"/>
      <c r="AI47" s="20"/>
    </row>
    <row r="48" spans="1:35" x14ac:dyDescent="0.25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20"/>
      <c r="T48" s="6"/>
      <c r="U48" s="6">
        <f t="shared" si="11"/>
        <v>114</v>
      </c>
      <c r="V48" s="6"/>
      <c r="W48" s="12">
        <f>(U48-U46)/(U50-U46)</f>
        <v>0.5</v>
      </c>
      <c r="X48" s="8">
        <f>W48*V50+(1-W48)*V46</f>
        <v>0.99751243781094534</v>
      </c>
      <c r="Y48" s="9">
        <f t="shared" si="12"/>
        <v>1.0024937655860349</v>
      </c>
      <c r="Z48" s="11"/>
      <c r="AA48" s="20"/>
      <c r="AB48" s="11"/>
      <c r="AC48" s="6">
        <f t="shared" si="13"/>
        <v>114</v>
      </c>
      <c r="AD48" s="8">
        <f t="shared" si="4"/>
        <v>0.99751243781094534</v>
      </c>
      <c r="AE48" s="8">
        <v>1</v>
      </c>
      <c r="AF48" s="8">
        <f t="shared" si="5"/>
        <v>0.99751243781094534</v>
      </c>
      <c r="AG48" s="9">
        <f t="shared" si="14"/>
        <v>1.0024937655860349</v>
      </c>
      <c r="AH48" s="9"/>
      <c r="AI48" s="20"/>
    </row>
    <row r="49" spans="3:35" x14ac:dyDescent="0.25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20"/>
      <c r="T49" s="6"/>
      <c r="U49" s="6">
        <f t="shared" si="11"/>
        <v>117</v>
      </c>
      <c r="V49" s="6"/>
      <c r="W49" s="12">
        <f>(U49-U46)/(U50-U46)</f>
        <v>0.75</v>
      </c>
      <c r="X49" s="8">
        <f>W49*V50+(1-W49)*V46</f>
        <v>0.99875621890547261</v>
      </c>
      <c r="Y49" s="9">
        <f t="shared" si="12"/>
        <v>1.0012453300124533</v>
      </c>
      <c r="Z49" s="11"/>
      <c r="AA49" s="20"/>
      <c r="AB49" s="11"/>
      <c r="AC49" s="6">
        <f t="shared" si="13"/>
        <v>117</v>
      </c>
      <c r="AD49" s="8">
        <f t="shared" si="4"/>
        <v>0.99875621890547261</v>
      </c>
      <c r="AE49" s="8">
        <v>1</v>
      </c>
      <c r="AF49" s="8">
        <f t="shared" si="5"/>
        <v>0.99875621890547261</v>
      </c>
      <c r="AG49" s="9">
        <f t="shared" si="14"/>
        <v>1.0012453300124533</v>
      </c>
      <c r="AH49" s="9"/>
      <c r="AI49" s="20"/>
    </row>
    <row r="50" spans="3:35" x14ac:dyDescent="0.25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20"/>
      <c r="T50" s="6"/>
      <c r="U50" s="6">
        <f t="shared" si="11"/>
        <v>120</v>
      </c>
      <c r="V50" s="8">
        <f>VLOOKUP(U50,ATU_Table,4,FALSE)</f>
        <v>1</v>
      </c>
      <c r="W50" s="13">
        <f>(U50-U46)/(U50-U46)</f>
        <v>1</v>
      </c>
      <c r="X50" s="8">
        <f>W50*V50+(1-W50)*V46</f>
        <v>1</v>
      </c>
      <c r="Y50" s="9">
        <f t="shared" si="12"/>
        <v>1</v>
      </c>
      <c r="Z50" s="11"/>
      <c r="AA50" s="20"/>
      <c r="AB50" s="11"/>
      <c r="AC50" s="6">
        <f t="shared" si="13"/>
        <v>120</v>
      </c>
      <c r="AD50" s="8">
        <f t="shared" si="4"/>
        <v>1</v>
      </c>
      <c r="AE50" s="8">
        <v>1</v>
      </c>
      <c r="AF50" s="8">
        <f t="shared" si="5"/>
        <v>1</v>
      </c>
      <c r="AG50" s="9">
        <f t="shared" si="14"/>
        <v>1</v>
      </c>
      <c r="AH50" s="9"/>
      <c r="AI50" s="20"/>
    </row>
    <row r="51" spans="3:35" x14ac:dyDescent="0.25">
      <c r="S51" s="20"/>
      <c r="AA51" s="20"/>
      <c r="AI51" s="20"/>
    </row>
    <row r="52" spans="3:35" x14ac:dyDescent="0.25"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Example</vt:lpstr>
      <vt:lpstr>ATU_Table</vt:lpstr>
      <vt:lpstr>ExposureTable_PY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2026-01-18T16:17:13Z</dcterms:created>
  <dcterms:modified xsi:type="dcterms:W3CDTF">2026-01-18T16:17:44Z</dcterms:modified>
</cp:coreProperties>
</file>