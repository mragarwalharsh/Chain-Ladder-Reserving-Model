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50D660DF-4C90-4039-BC24-C46D00BF0600}" xr6:coauthVersionLast="47" xr6:coauthVersionMax="47" xr10:uidLastSave="{00000000-0000-0000-0000-000000000000}"/>
  <bookViews>
    <workbookView xWindow="-120" yWindow="-120" windowWidth="20730" windowHeight="11160" xr2:uid="{3EAFF66F-FE4E-46F0-BFD7-CD8EFABF9171}"/>
  </bookViews>
  <sheets>
    <sheet name="Sample" sheetId="1" r:id="rId1"/>
  </sheets>
  <definedNames>
    <definedName name="_xlnm.Print_Area" localSheetId="0">Sample!$B$1:$P$28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P7" i="1"/>
  <c r="O7" i="1"/>
  <c r="N7" i="1"/>
  <c r="M7" i="1"/>
  <c r="L7" i="1"/>
  <c r="K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K18" i="1"/>
  <c r="K17" i="1" s="1"/>
  <c r="K16" i="1" s="1"/>
  <c r="K15" i="1" s="1"/>
  <c r="K14" i="1" s="1"/>
  <c r="K13" i="1" s="1"/>
  <c r="K12" i="1" s="1"/>
  <c r="K11" i="1" s="1"/>
  <c r="K10" i="1" s="1"/>
  <c r="K9" i="1" s="1"/>
  <c r="K8" i="1" s="1"/>
  <c r="E18" i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L5" i="1"/>
  <c r="L18" i="1" s="1"/>
  <c r="L17" i="1" s="1"/>
  <c r="L16" i="1" s="1"/>
  <c r="L15" i="1" s="1"/>
  <c r="L14" i="1" s="1"/>
  <c r="L13" i="1" s="1"/>
  <c r="L12" i="1" s="1"/>
  <c r="L11" i="1" s="1"/>
  <c r="L10" i="1" s="1"/>
  <c r="L9" i="1" s="1"/>
  <c r="L8" i="1" s="1"/>
  <c r="H24" i="1" s="1"/>
  <c r="I21" i="1" l="1"/>
  <c r="I23" i="1"/>
  <c r="H21" i="1"/>
  <c r="H23" i="1"/>
  <c r="M5" i="1"/>
  <c r="M18" i="1" l="1"/>
  <c r="M17" i="1" s="1"/>
  <c r="M16" i="1" s="1"/>
  <c r="M15" i="1" s="1"/>
  <c r="M14" i="1" s="1"/>
  <c r="M13" i="1" s="1"/>
  <c r="M12" i="1" s="1"/>
  <c r="M11" i="1" s="1"/>
  <c r="M10" i="1" s="1"/>
  <c r="M9" i="1" s="1"/>
  <c r="M8" i="1" s="1"/>
  <c r="N5" i="1"/>
  <c r="N18" i="1" l="1"/>
  <c r="N17" i="1" s="1"/>
  <c r="N16" i="1" s="1"/>
  <c r="N15" i="1" s="1"/>
  <c r="N14" i="1" s="1"/>
  <c r="N13" i="1" s="1"/>
  <c r="N12" i="1" s="1"/>
  <c r="N11" i="1" s="1"/>
  <c r="N10" i="1" s="1"/>
  <c r="N9" i="1" s="1"/>
  <c r="N8" i="1" s="1"/>
  <c r="O5" i="1"/>
  <c r="H25" i="1"/>
  <c r="I25" i="1"/>
  <c r="I26" i="1" l="1"/>
  <c r="H26" i="1"/>
  <c r="O18" i="1"/>
  <c r="O17" i="1" s="1"/>
  <c r="O16" i="1" s="1"/>
  <c r="O15" i="1" s="1"/>
  <c r="O14" i="1" s="1"/>
  <c r="O13" i="1" s="1"/>
  <c r="O12" i="1" s="1"/>
  <c r="O11" i="1" s="1"/>
  <c r="O10" i="1" s="1"/>
  <c r="O9" i="1" s="1"/>
  <c r="O8" i="1" s="1"/>
  <c r="P5" i="1"/>
  <c r="P18" i="1" s="1"/>
  <c r="P17" i="1" s="1"/>
  <c r="P16" i="1" s="1"/>
  <c r="P15" i="1" s="1"/>
  <c r="P14" i="1" s="1"/>
  <c r="P13" i="1" s="1"/>
  <c r="P12" i="1" s="1"/>
  <c r="P11" i="1" s="1"/>
  <c r="P10" i="1" s="1"/>
  <c r="P9" i="1" s="1"/>
  <c r="P8" i="1" s="1"/>
  <c r="H28" i="1" l="1"/>
  <c r="I28" i="1"/>
  <c r="I27" i="1"/>
  <c r="H27" i="1"/>
</calcChain>
</file>

<file path=xl/sharedStrings.xml><?xml version="1.0" encoding="utf-8"?>
<sst xmlns="http://schemas.openxmlformats.org/spreadsheetml/2006/main" count="16" uniqueCount="16">
  <si>
    <t>Example Application of the Double Weighted Average</t>
  </si>
  <si>
    <t>for Loss Development Factors</t>
  </si>
  <si>
    <t>Loss by Age (in Months)</t>
  </si>
  <si>
    <t>Age-to-Age LDFs</t>
  </si>
  <si>
    <t>Acc Year</t>
  </si>
  <si>
    <t>12 - 24</t>
  </si>
  <si>
    <t>24 - 36</t>
  </si>
  <si>
    <t>All-Year Weighted Average</t>
  </si>
  <si>
    <r>
      <t>Double Weighted Average (</t>
    </r>
    <r>
      <rPr>
        <sz val="11"/>
        <rFont val="Calibri"/>
        <family val="2"/>
      </rPr>
      <t>α</t>
    </r>
    <r>
      <rPr>
        <sz val="11"/>
        <rFont val="Calibri"/>
        <family val="2"/>
        <scheme val="minor"/>
      </rPr>
      <t>=1.00)</t>
    </r>
  </si>
  <si>
    <r>
      <t>Double Weighted Average (</t>
    </r>
    <r>
      <rPr>
        <sz val="11"/>
        <color theme="5" tint="-0.499984740745262"/>
        <rFont val="Calibri"/>
        <family val="2"/>
      </rPr>
      <t>α</t>
    </r>
    <r>
      <rPr>
        <sz val="11"/>
        <color theme="5" tint="-0.499984740745262"/>
        <rFont val="Calibri"/>
        <family val="2"/>
        <scheme val="minor"/>
      </rPr>
      <t>=0.95)</t>
    </r>
  </si>
  <si>
    <r>
      <t>Double Weighted Average (</t>
    </r>
    <r>
      <rPr>
        <sz val="11"/>
        <color theme="5" tint="-0.499984740745262"/>
        <rFont val="Calibri"/>
        <family val="2"/>
      </rPr>
      <t>α</t>
    </r>
    <r>
      <rPr>
        <sz val="11"/>
        <color theme="5" tint="-0.499984740745262"/>
        <rFont val="Calibri"/>
        <family val="2"/>
        <scheme val="minor"/>
      </rPr>
      <t>=0.90)</t>
    </r>
  </si>
  <si>
    <r>
      <t>Double Weighted Average (</t>
    </r>
    <r>
      <rPr>
        <sz val="11"/>
        <color theme="5" tint="-0.499984740745262"/>
        <rFont val="Calibri"/>
        <family val="2"/>
      </rPr>
      <t>α</t>
    </r>
    <r>
      <rPr>
        <sz val="11"/>
        <color theme="5" tint="-0.499984740745262"/>
        <rFont val="Calibri"/>
        <family val="2"/>
        <scheme val="minor"/>
      </rPr>
      <t>=0.85)</t>
    </r>
  </si>
  <si>
    <r>
      <t>Double Weighted Average (</t>
    </r>
    <r>
      <rPr>
        <sz val="11"/>
        <color theme="5" tint="-0.499984740745262"/>
        <rFont val="Calibri"/>
        <family val="2"/>
      </rPr>
      <t>α</t>
    </r>
    <r>
      <rPr>
        <sz val="11"/>
        <color theme="5" tint="-0.499984740745262"/>
        <rFont val="Calibri"/>
        <family val="2"/>
        <scheme val="minor"/>
      </rPr>
      <t>=0.80)</t>
    </r>
  </si>
  <si>
    <r>
      <t>Double Weighted Average (</t>
    </r>
    <r>
      <rPr>
        <sz val="11"/>
        <color theme="5" tint="-0.499984740745262"/>
        <rFont val="Calibri"/>
        <family val="2"/>
      </rPr>
      <t>α</t>
    </r>
    <r>
      <rPr>
        <sz val="11"/>
        <color theme="5" tint="-0.499984740745262"/>
        <rFont val="Calibri"/>
        <family val="2"/>
        <scheme val="minor"/>
      </rPr>
      <t>=0.75)</t>
    </r>
  </si>
  <si>
    <t>Weighting Patterns for Double Weighted Average</t>
  </si>
  <si>
    <t>(α = Starting Weight, 12 or Less Data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</si>
</sst>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"/>
    <numFmt numFmtId="167" formatCode="_(* #,##0.000_);_(* \(#,##0.000\);_(* &quot;-&quot;?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0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0" borderId="0" xfId="0" applyFont="1"/>
    <xf numFmtId="0" fontId="3" fillId="0" borderId="0" xfId="0" quotePrefix="1" applyFont="1" applyAlignment="1">
      <alignment horizontal="right"/>
    </xf>
    <xf numFmtId="2" fontId="3" fillId="0" borderId="0" xfId="0" applyNumberFormat="1" applyFont="1"/>
    <xf numFmtId="0" fontId="0" fillId="0" borderId="0" xfId="0" quotePrefix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 applyFill="1" applyBorder="1"/>
    <xf numFmtId="164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0" fillId="0" borderId="0" xfId="0" applyAlignment="1">
      <alignment horizontal="right" indent="1"/>
    </xf>
    <xf numFmtId="0" fontId="4" fillId="0" borderId="0" xfId="0" applyFont="1"/>
    <xf numFmtId="0" fontId="5" fillId="0" borderId="0" xfId="0" applyFont="1" applyAlignment="1">
      <alignment horizontal="right" indent="1"/>
    </xf>
    <xf numFmtId="165" fontId="5" fillId="0" borderId="0" xfId="0" applyNumberFormat="1" applyFont="1" applyAlignment="1">
      <alignment horizontal="center"/>
    </xf>
    <xf numFmtId="167" fontId="0" fillId="0" borderId="0" xfId="0" applyNumberFormat="1"/>
    <xf numFmtId="0" fontId="7" fillId="0" borderId="0" xfId="0" applyFont="1"/>
    <xf numFmtId="0" fontId="8" fillId="0" borderId="0" xfId="0" applyFont="1" applyAlignment="1">
      <alignment horizontal="right" indent="1"/>
    </xf>
    <xf numFmtId="165" fontId="10" fillId="0" borderId="0" xfId="0" applyNumberFormat="1" applyFont="1" applyAlignment="1">
      <alignment horizontal="center"/>
    </xf>
    <xf numFmtId="0" fontId="0" fillId="0" borderId="0" xfId="0" quotePrefix="1"/>
    <xf numFmtId="0" fontId="11" fillId="0" borderId="0" xfId="0" applyFont="1"/>
    <xf numFmtId="0" fontId="12" fillId="0" borderId="0" xfId="0" applyFont="1"/>
    <xf numFmtId="165" fontId="0" fillId="0" borderId="0" xfId="0" applyNumberFormat="1"/>
    <xf numFmtId="0" fontId="5" fillId="0" borderId="0" xfId="0" applyFont="1"/>
    <xf numFmtId="0" fontId="2" fillId="0" borderId="0" xfId="0" applyFont="1" applyAlignment="1">
      <alignment horizontal="centerContinuous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9D70-FCA4-427B-8DB2-AFA4A455F133}">
  <sheetPr>
    <pageSetUpPr fitToPage="1"/>
  </sheetPr>
  <dimension ref="B1:P28"/>
  <sheetViews>
    <sheetView showGridLines="0" tabSelected="1" topLeftCell="B1" workbookViewId="0">
      <selection activeCell="G1" sqref="G1"/>
    </sheetView>
  </sheetViews>
  <sheetFormatPr defaultRowHeight="15" x14ac:dyDescent="0.25"/>
  <cols>
    <col min="1" max="1" width="4.42578125" customWidth="1"/>
    <col min="3" max="3" width="9.5703125" customWidth="1"/>
    <col min="4" max="4" width="0.42578125" customWidth="1"/>
    <col min="5" max="5" width="9.5703125" bestFit="1" customWidth="1"/>
    <col min="7" max="7" width="4" customWidth="1"/>
    <col min="10" max="10" width="4" customWidth="1"/>
    <col min="17" max="17" width="3.85546875" customWidth="1"/>
  </cols>
  <sheetData>
    <row r="1" spans="2:16" x14ac:dyDescent="0.25">
      <c r="B1" s="1" t="s">
        <v>0</v>
      </c>
    </row>
    <row r="2" spans="2:16" x14ac:dyDescent="0.25">
      <c r="B2" t="s">
        <v>1</v>
      </c>
    </row>
    <row r="3" spans="2:16" x14ac:dyDescent="0.25">
      <c r="K3" s="27" t="s">
        <v>14</v>
      </c>
      <c r="L3" s="27"/>
      <c r="M3" s="27"/>
      <c r="N3" s="27"/>
      <c r="O3" s="27"/>
      <c r="P3" s="27"/>
    </row>
    <row r="4" spans="2:16" x14ac:dyDescent="0.25">
      <c r="C4" s="2" t="s">
        <v>2</v>
      </c>
      <c r="D4" s="2"/>
      <c r="E4" s="3"/>
      <c r="F4" s="3"/>
      <c r="H4" s="2" t="s">
        <v>3</v>
      </c>
      <c r="I4" s="3"/>
      <c r="K4" s="3" t="s">
        <v>15</v>
      </c>
      <c r="L4" s="2"/>
      <c r="M4" s="2"/>
      <c r="N4" s="2"/>
      <c r="O4" s="2"/>
      <c r="P4" s="2"/>
    </row>
    <row r="5" spans="2:16" x14ac:dyDescent="0.25">
      <c r="B5" s="4" t="s">
        <v>4</v>
      </c>
      <c r="C5" s="4">
        <v>12</v>
      </c>
      <c r="D5" s="4"/>
      <c r="E5" s="4">
        <v>24</v>
      </c>
      <c r="F5" s="4">
        <v>36</v>
      </c>
      <c r="G5" s="4"/>
      <c r="H5" s="5" t="s">
        <v>5</v>
      </c>
      <c r="I5" s="5" t="s">
        <v>6</v>
      </c>
      <c r="K5" s="6">
        <v>1</v>
      </c>
      <c r="L5" s="6">
        <f>K5-0.05</f>
        <v>0.95</v>
      </c>
      <c r="M5" s="6">
        <f t="shared" ref="M5:P5" si="0">L5-0.05</f>
        <v>0.89999999999999991</v>
      </c>
      <c r="N5" s="6">
        <f t="shared" si="0"/>
        <v>0.84999999999999987</v>
      </c>
      <c r="O5" s="6">
        <f t="shared" si="0"/>
        <v>0.79999999999999982</v>
      </c>
      <c r="P5" s="6">
        <f t="shared" si="0"/>
        <v>0.74999999999999978</v>
      </c>
    </row>
    <row r="6" spans="2:16" ht="8.25" customHeight="1" x14ac:dyDescent="0.25">
      <c r="H6" s="7"/>
      <c r="I6" s="7"/>
      <c r="K6" s="8"/>
      <c r="L6" s="8"/>
      <c r="M6" s="8"/>
      <c r="N6" s="8"/>
      <c r="O6" s="8"/>
      <c r="P6" s="8"/>
    </row>
    <row r="7" spans="2:16" x14ac:dyDescent="0.25">
      <c r="B7" s="9">
        <v>2010</v>
      </c>
      <c r="C7" s="10">
        <v>1401</v>
      </c>
      <c r="E7" s="10">
        <f t="shared" ref="E7:E18" si="1">C7*H7</f>
        <v>2521.8000000000002</v>
      </c>
      <c r="F7" s="10">
        <f t="shared" ref="F7:F17" si="2">E7*I7</f>
        <v>2900.07</v>
      </c>
      <c r="G7" s="11"/>
      <c r="H7" s="12">
        <v>1.8</v>
      </c>
      <c r="I7" s="12">
        <v>1.1499999999999999</v>
      </c>
      <c r="K7" s="13">
        <f t="shared" ref="K7:K16" si="3">K8^K$5</f>
        <v>1</v>
      </c>
      <c r="L7" s="13">
        <f t="shared" ref="L7:P17" si="4">L8*L$5</f>
        <v>0.54036008766263655</v>
      </c>
      <c r="M7" s="13">
        <f t="shared" si="4"/>
        <v>0.28242953648099961</v>
      </c>
      <c r="N7" s="13">
        <f t="shared" si="4"/>
        <v>0.14224175713617185</v>
      </c>
      <c r="O7" s="13">
        <f t="shared" si="4"/>
        <v>6.8719476735999818E-2</v>
      </c>
      <c r="P7" s="13">
        <f t="shared" si="4"/>
        <v>3.1676352024078258E-2</v>
      </c>
    </row>
    <row r="8" spans="2:16" x14ac:dyDescent="0.25">
      <c r="B8" s="9">
        <f>B7+1</f>
        <v>2011</v>
      </c>
      <c r="C8" s="10">
        <v>1316</v>
      </c>
      <c r="E8" s="10">
        <f t="shared" si="1"/>
        <v>2171.4</v>
      </c>
      <c r="F8" s="10">
        <f t="shared" si="2"/>
        <v>2475.3959999999997</v>
      </c>
      <c r="G8" s="11"/>
      <c r="H8" s="12">
        <v>1.65</v>
      </c>
      <c r="I8" s="12">
        <v>1.1399999999999999</v>
      </c>
      <c r="K8" s="13">
        <f t="shared" si="3"/>
        <v>1</v>
      </c>
      <c r="L8" s="13">
        <f t="shared" si="4"/>
        <v>0.56880009227645956</v>
      </c>
      <c r="M8" s="13">
        <f t="shared" si="4"/>
        <v>0.31381059608999962</v>
      </c>
      <c r="N8" s="13">
        <f t="shared" si="4"/>
        <v>0.16734324368961398</v>
      </c>
      <c r="O8" s="13">
        <f t="shared" si="4"/>
        <v>8.5899345919999787E-2</v>
      </c>
      <c r="P8" s="13">
        <f t="shared" si="4"/>
        <v>4.223513603210436E-2</v>
      </c>
    </row>
    <row r="9" spans="2:16" x14ac:dyDescent="0.25">
      <c r="B9" s="9">
        <f t="shared" ref="B9:B19" si="5">B8+1</f>
        <v>2012</v>
      </c>
      <c r="C9" s="10">
        <v>1568</v>
      </c>
      <c r="E9" s="10">
        <f t="shared" si="1"/>
        <v>2979.2</v>
      </c>
      <c r="F9" s="10">
        <f t="shared" si="2"/>
        <v>3366.4959999999996</v>
      </c>
      <c r="G9" s="11"/>
      <c r="H9" s="12">
        <v>1.9</v>
      </c>
      <c r="I9" s="12">
        <v>1.1299999999999999</v>
      </c>
      <c r="K9" s="13">
        <f t="shared" si="3"/>
        <v>1</v>
      </c>
      <c r="L9" s="13">
        <f t="shared" si="4"/>
        <v>0.59873693923837856</v>
      </c>
      <c r="M9" s="13">
        <f t="shared" si="4"/>
        <v>0.3486784400999996</v>
      </c>
      <c r="N9" s="13">
        <f t="shared" si="4"/>
        <v>0.19687440434072237</v>
      </c>
      <c r="O9" s="13">
        <f t="shared" si="4"/>
        <v>0.10737418239999975</v>
      </c>
      <c r="P9" s="13">
        <f t="shared" si="4"/>
        <v>5.6313514709472497E-2</v>
      </c>
    </row>
    <row r="10" spans="2:16" x14ac:dyDescent="0.25">
      <c r="B10" s="9">
        <f t="shared" si="5"/>
        <v>2013</v>
      </c>
      <c r="C10" s="10">
        <v>1493</v>
      </c>
      <c r="E10" s="10">
        <f t="shared" si="1"/>
        <v>2747.1200000000003</v>
      </c>
      <c r="F10" s="10">
        <f t="shared" si="2"/>
        <v>2966.8896000000004</v>
      </c>
      <c r="G10" s="11"/>
      <c r="H10" s="12">
        <v>1.84</v>
      </c>
      <c r="I10" s="12">
        <v>1.08</v>
      </c>
      <c r="K10" s="13">
        <f t="shared" si="3"/>
        <v>1</v>
      </c>
      <c r="L10" s="13">
        <f t="shared" si="4"/>
        <v>0.63024940972460908</v>
      </c>
      <c r="M10" s="13">
        <f t="shared" si="4"/>
        <v>0.38742048899999959</v>
      </c>
      <c r="N10" s="13">
        <f t="shared" si="4"/>
        <v>0.23161694628320281</v>
      </c>
      <c r="O10" s="13">
        <f t="shared" si="4"/>
        <v>0.13421772799999973</v>
      </c>
      <c r="P10" s="13">
        <f t="shared" si="4"/>
        <v>7.5084686279296681E-2</v>
      </c>
    </row>
    <row r="11" spans="2:16" x14ac:dyDescent="0.25">
      <c r="B11" s="9">
        <f t="shared" si="5"/>
        <v>2014</v>
      </c>
      <c r="C11" s="10">
        <v>1768</v>
      </c>
      <c r="E11" s="10">
        <f t="shared" si="1"/>
        <v>3217.76</v>
      </c>
      <c r="F11" s="10">
        <f t="shared" si="2"/>
        <v>3700.424</v>
      </c>
      <c r="G11" s="11"/>
      <c r="H11" s="12">
        <v>1.82</v>
      </c>
      <c r="I11" s="12">
        <v>1.1499999999999999</v>
      </c>
      <c r="K11" s="13">
        <f t="shared" si="3"/>
        <v>1</v>
      </c>
      <c r="L11" s="13">
        <f t="shared" si="4"/>
        <v>0.66342043128906225</v>
      </c>
      <c r="M11" s="13">
        <f t="shared" si="4"/>
        <v>0.4304672099999996</v>
      </c>
      <c r="N11" s="13">
        <f t="shared" si="4"/>
        <v>0.27249052503906218</v>
      </c>
      <c r="O11" s="13">
        <f t="shared" si="4"/>
        <v>0.1677721599999997</v>
      </c>
      <c r="P11" s="13">
        <f t="shared" si="4"/>
        <v>0.10011291503906226</v>
      </c>
    </row>
    <row r="12" spans="2:16" x14ac:dyDescent="0.25">
      <c r="B12" s="9">
        <f t="shared" si="5"/>
        <v>2015</v>
      </c>
      <c r="C12" s="10">
        <v>2335</v>
      </c>
      <c r="E12" s="10">
        <f t="shared" si="1"/>
        <v>4156.3</v>
      </c>
      <c r="F12" s="10">
        <f t="shared" si="2"/>
        <v>4613.4930000000004</v>
      </c>
      <c r="G12" s="11"/>
      <c r="H12" s="12">
        <v>1.78</v>
      </c>
      <c r="I12" s="12">
        <v>1.1100000000000001</v>
      </c>
      <c r="K12" s="13">
        <f t="shared" si="3"/>
        <v>1</v>
      </c>
      <c r="L12" s="13">
        <f t="shared" si="4"/>
        <v>0.69833729609374973</v>
      </c>
      <c r="M12" s="13">
        <f t="shared" si="4"/>
        <v>0.47829689999999958</v>
      </c>
      <c r="N12" s="13">
        <f t="shared" si="4"/>
        <v>0.32057708828124964</v>
      </c>
      <c r="O12" s="13">
        <f t="shared" si="4"/>
        <v>0.20971519999999969</v>
      </c>
      <c r="P12" s="13">
        <f t="shared" si="4"/>
        <v>0.13348388671874972</v>
      </c>
    </row>
    <row r="13" spans="2:16" x14ac:dyDescent="0.25">
      <c r="B13" s="9">
        <f t="shared" si="5"/>
        <v>2016</v>
      </c>
      <c r="C13" s="10">
        <v>2357</v>
      </c>
      <c r="E13" s="10">
        <f t="shared" si="1"/>
        <v>4006.9</v>
      </c>
      <c r="F13" s="10">
        <f t="shared" si="2"/>
        <v>4327.4520000000002</v>
      </c>
      <c r="G13" s="11"/>
      <c r="H13" s="12">
        <v>1.7</v>
      </c>
      <c r="I13" s="12">
        <v>1.08</v>
      </c>
      <c r="K13" s="13">
        <f t="shared" si="3"/>
        <v>1</v>
      </c>
      <c r="L13" s="13">
        <f t="shared" si="4"/>
        <v>0.7350918906249998</v>
      </c>
      <c r="M13" s="13">
        <f t="shared" si="4"/>
        <v>0.53144099999999961</v>
      </c>
      <c r="N13" s="13">
        <f t="shared" si="4"/>
        <v>0.37714951562499965</v>
      </c>
      <c r="O13" s="13">
        <f t="shared" si="4"/>
        <v>0.26214399999999966</v>
      </c>
      <c r="P13" s="13">
        <f t="shared" si="4"/>
        <v>0.17797851562499967</v>
      </c>
    </row>
    <row r="14" spans="2:16" x14ac:dyDescent="0.25">
      <c r="B14" s="9">
        <f t="shared" si="5"/>
        <v>2017</v>
      </c>
      <c r="C14" s="10">
        <v>2339</v>
      </c>
      <c r="E14" s="10">
        <f t="shared" si="1"/>
        <v>4023.08</v>
      </c>
      <c r="F14" s="10">
        <f t="shared" si="2"/>
        <v>4505.8496000000005</v>
      </c>
      <c r="G14" s="11"/>
      <c r="H14" s="12">
        <v>1.72</v>
      </c>
      <c r="I14" s="12">
        <v>1.1200000000000001</v>
      </c>
      <c r="K14" s="13">
        <f t="shared" si="3"/>
        <v>1</v>
      </c>
      <c r="L14" s="13">
        <f t="shared" si="4"/>
        <v>0.77378093749999988</v>
      </c>
      <c r="M14" s="13">
        <f t="shared" si="4"/>
        <v>0.59048999999999963</v>
      </c>
      <c r="N14" s="13">
        <f t="shared" si="4"/>
        <v>0.44370531249999967</v>
      </c>
      <c r="O14" s="13">
        <f t="shared" si="4"/>
        <v>0.32767999999999964</v>
      </c>
      <c r="P14" s="13">
        <f t="shared" si="4"/>
        <v>0.23730468749999964</v>
      </c>
    </row>
    <row r="15" spans="2:16" x14ac:dyDescent="0.25">
      <c r="B15" s="9">
        <f t="shared" si="5"/>
        <v>2018</v>
      </c>
      <c r="C15" s="10">
        <v>2309</v>
      </c>
      <c r="E15" s="10">
        <f t="shared" si="1"/>
        <v>3809.85</v>
      </c>
      <c r="F15" s="10">
        <f t="shared" si="2"/>
        <v>4152.7365</v>
      </c>
      <c r="G15" s="11"/>
      <c r="H15" s="12">
        <v>1.65</v>
      </c>
      <c r="I15" s="12">
        <v>1.0900000000000001</v>
      </c>
      <c r="K15" s="13">
        <f t="shared" si="3"/>
        <v>1</v>
      </c>
      <c r="L15" s="13">
        <f t="shared" si="4"/>
        <v>0.81450624999999988</v>
      </c>
      <c r="M15" s="13">
        <f t="shared" si="4"/>
        <v>0.65609999999999968</v>
      </c>
      <c r="N15" s="13">
        <f t="shared" si="4"/>
        <v>0.52200624999999967</v>
      </c>
      <c r="O15" s="13">
        <f t="shared" si="4"/>
        <v>0.40959999999999963</v>
      </c>
      <c r="P15" s="13">
        <f t="shared" si="4"/>
        <v>0.31640624999999961</v>
      </c>
    </row>
    <row r="16" spans="2:16" x14ac:dyDescent="0.25">
      <c r="B16" s="9">
        <f t="shared" si="5"/>
        <v>2019</v>
      </c>
      <c r="C16" s="10">
        <v>2871</v>
      </c>
      <c r="E16" s="10">
        <f t="shared" si="1"/>
        <v>4536.18</v>
      </c>
      <c r="F16" s="10">
        <f t="shared" si="2"/>
        <v>4853.7126000000007</v>
      </c>
      <c r="G16" s="11"/>
      <c r="H16" s="12">
        <v>1.58</v>
      </c>
      <c r="I16" s="12">
        <v>1.07</v>
      </c>
      <c r="K16" s="13">
        <f t="shared" si="3"/>
        <v>1</v>
      </c>
      <c r="L16" s="13">
        <f t="shared" si="4"/>
        <v>0.85737499999999989</v>
      </c>
      <c r="M16" s="13">
        <f t="shared" si="4"/>
        <v>0.72899999999999976</v>
      </c>
      <c r="N16" s="13">
        <f t="shared" si="4"/>
        <v>0.6141249999999997</v>
      </c>
      <c r="O16" s="13">
        <f t="shared" si="4"/>
        <v>0.51199999999999968</v>
      </c>
      <c r="P16" s="13">
        <f t="shared" si="4"/>
        <v>0.42187499999999961</v>
      </c>
    </row>
    <row r="17" spans="2:16" x14ac:dyDescent="0.25">
      <c r="B17" s="9">
        <f t="shared" si="5"/>
        <v>2020</v>
      </c>
      <c r="C17" s="10">
        <v>2988</v>
      </c>
      <c r="E17" s="10">
        <f t="shared" si="1"/>
        <v>4780.8</v>
      </c>
      <c r="F17" s="10">
        <f t="shared" si="2"/>
        <v>5163.2640000000001</v>
      </c>
      <c r="G17" s="11"/>
      <c r="H17" s="12">
        <v>1.6</v>
      </c>
      <c r="I17" s="12">
        <v>1.08</v>
      </c>
      <c r="K17" s="13">
        <f>K18^K$5</f>
        <v>1</v>
      </c>
      <c r="L17" s="13">
        <f>L18*L$5</f>
        <v>0.90249999999999997</v>
      </c>
      <c r="M17" s="13">
        <f t="shared" si="4"/>
        <v>0.80999999999999983</v>
      </c>
      <c r="N17" s="13">
        <f t="shared" si="4"/>
        <v>0.72249999999999981</v>
      </c>
      <c r="O17" s="13">
        <f t="shared" si="4"/>
        <v>0.63999999999999968</v>
      </c>
      <c r="P17" s="13">
        <f t="shared" si="4"/>
        <v>0.56249999999999967</v>
      </c>
    </row>
    <row r="18" spans="2:16" x14ac:dyDescent="0.25">
      <c r="B18" s="9">
        <f t="shared" si="5"/>
        <v>2021</v>
      </c>
      <c r="C18" s="10">
        <v>2436</v>
      </c>
      <c r="E18" s="10">
        <f t="shared" si="1"/>
        <v>3970.68</v>
      </c>
      <c r="G18" s="11"/>
      <c r="H18" s="12">
        <v>1.63</v>
      </c>
      <c r="I18" s="12"/>
      <c r="K18" s="13">
        <f>K5</f>
        <v>1</v>
      </c>
      <c r="L18" s="13">
        <f>L5</f>
        <v>0.95</v>
      </c>
      <c r="M18" s="13">
        <f t="shared" ref="M18:P18" si="6">M5</f>
        <v>0.89999999999999991</v>
      </c>
      <c r="N18" s="13">
        <f t="shared" si="6"/>
        <v>0.84999999999999987</v>
      </c>
      <c r="O18" s="13">
        <f t="shared" si="6"/>
        <v>0.79999999999999982</v>
      </c>
      <c r="P18" s="13">
        <f t="shared" si="6"/>
        <v>0.74999999999999978</v>
      </c>
    </row>
    <row r="19" spans="2:16" x14ac:dyDescent="0.25">
      <c r="B19" s="9">
        <f t="shared" si="5"/>
        <v>2022</v>
      </c>
      <c r="C19" s="10">
        <v>2596</v>
      </c>
      <c r="G19" s="11"/>
      <c r="H19" s="9"/>
      <c r="I19" s="9"/>
    </row>
    <row r="20" spans="2:16" x14ac:dyDescent="0.25">
      <c r="H20" s="9"/>
      <c r="I20" s="9"/>
      <c r="K20" s="13"/>
      <c r="L20" s="13"/>
      <c r="M20" s="13"/>
      <c r="N20" s="13"/>
      <c r="O20" s="13"/>
      <c r="P20" s="13"/>
    </row>
    <row r="21" spans="2:16" x14ac:dyDescent="0.25">
      <c r="F21" s="11"/>
      <c r="G21" s="14" t="s">
        <v>7</v>
      </c>
      <c r="H21" s="12">
        <f>SUM(E7:E18)/SUM(C7:C18)</f>
        <v>1.7045022040427309</v>
      </c>
      <c r="I21" s="12">
        <f>SUM(F7:F17)/SUM(E7:E17)</f>
        <v>1.1046303592852345</v>
      </c>
    </row>
    <row r="22" spans="2:16" ht="6.75" customHeight="1" x14ac:dyDescent="0.25">
      <c r="F22" s="11"/>
      <c r="G22" s="14"/>
      <c r="H22" s="12"/>
      <c r="I22" s="12"/>
    </row>
    <row r="23" spans="2:16" x14ac:dyDescent="0.25">
      <c r="C23" s="15"/>
      <c r="D23" s="15"/>
      <c r="E23" s="15"/>
      <c r="F23" s="15"/>
      <c r="G23" s="16" t="s">
        <v>8</v>
      </c>
      <c r="H23" s="17">
        <f>SUMPRODUCT($E7:$E18,K7:K18)/SUMPRODUCT($C7:$C18,K7:K18)</f>
        <v>1.7045022040427309</v>
      </c>
      <c r="I23" s="17">
        <f>SUMPRODUCT($F7:$F17,K8:K18)/SUMPRODUCT($E7:$E17,K8:K18)</f>
        <v>1.1046303592852345</v>
      </c>
      <c r="K23" s="18"/>
    </row>
    <row r="24" spans="2:16" x14ac:dyDescent="0.25">
      <c r="C24" s="19"/>
      <c r="D24" s="19"/>
      <c r="E24" s="19"/>
      <c r="F24" s="19"/>
      <c r="G24" s="20" t="s">
        <v>9</v>
      </c>
      <c r="H24" s="21">
        <f>SUMPRODUCT($E7:$E18,L7:L18)/SUMPRODUCT($C7:$C18,L7:L18)</f>
        <v>1.6918308312803203</v>
      </c>
      <c r="I24" s="21">
        <f>SUMPRODUCT($F7:$F17,L8:L18)/SUMPRODUCT($E7:$E17,L8:L18)</f>
        <v>1.1014565412847179</v>
      </c>
      <c r="K24" s="22"/>
    </row>
    <row r="25" spans="2:16" x14ac:dyDescent="0.25">
      <c r="C25" s="19"/>
      <c r="D25" s="19"/>
      <c r="E25" s="19"/>
      <c r="F25" s="19"/>
      <c r="G25" s="20" t="s">
        <v>10</v>
      </c>
      <c r="H25" s="21">
        <f>SUMPRODUCT($E7:$E18,M7:M18)/SUMPRODUCT($C7:$C18,M7:M18)</f>
        <v>1.6792133883009008</v>
      </c>
      <c r="I25" s="21">
        <f>SUMPRODUCT($F7:$F17,M8:M18)/SUMPRODUCT($E7:$E17,M8:M18)</f>
        <v>1.0983448826353839</v>
      </c>
    </row>
    <row r="26" spans="2:16" x14ac:dyDescent="0.25">
      <c r="C26" s="23"/>
      <c r="D26" s="23"/>
      <c r="E26" s="23"/>
      <c r="F26" s="23"/>
      <c r="G26" s="20" t="s">
        <v>11</v>
      </c>
      <c r="H26" s="21">
        <f>SUMPRODUCT($E7:$E18,N7:N18)/SUMPRODUCT($C7:$C18,N7:N18)</f>
        <v>1.667175748658142</v>
      </c>
      <c r="I26" s="21">
        <f>SUMPRODUCT($F7:$F17,N8:N18)/SUMPRODUCT($E7:$E17,N8:N18)</f>
        <v>1.0953720680578913</v>
      </c>
    </row>
    <row r="27" spans="2:16" x14ac:dyDescent="0.25">
      <c r="C27" s="24"/>
      <c r="D27" s="24"/>
      <c r="E27" s="24"/>
      <c r="F27" s="24"/>
      <c r="G27" s="20" t="s">
        <v>12</v>
      </c>
      <c r="H27" s="21">
        <f>SUMPRODUCT($E7:$E18,O7:O18)/SUMPRODUCT($C7:$C18,O7:O18)</f>
        <v>1.6561765172349476</v>
      </c>
      <c r="I27" s="21">
        <f>SUMPRODUCT($F7:$F17,O8:O18)/SUMPRODUCT($E7:$E17,O8:O18)</f>
        <v>1.0926040558512524</v>
      </c>
      <c r="J27" s="25"/>
    </row>
    <row r="28" spans="2:16" x14ac:dyDescent="0.25">
      <c r="C28" s="26"/>
      <c r="D28" s="26"/>
      <c r="E28" s="26"/>
      <c r="F28" s="26"/>
      <c r="G28" s="20" t="s">
        <v>13</v>
      </c>
      <c r="H28" s="21">
        <f>SUMPRODUCT($E7:$E18,P7:P18)/SUMPRODUCT($C7:$C18,P7:P18)</f>
        <v>1.6465489155773647</v>
      </c>
      <c r="I28" s="21">
        <f>SUMPRODUCT($F7:$F17,P8:P18)/SUMPRODUCT($E7:$E17,P8:P18)</f>
        <v>1.0900892517891887</v>
      </c>
    </row>
  </sheetData>
  <pageMargins left="0.7" right="0.7" top="0.75" bottom="0.75" header="0.3" footer="0.3"/>
  <pageSetup scale="7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2026-01-18T16:18:23Z</dcterms:created>
  <dcterms:modified xsi:type="dcterms:W3CDTF">2026-01-18T16:18:33Z</dcterms:modified>
</cp:coreProperties>
</file>